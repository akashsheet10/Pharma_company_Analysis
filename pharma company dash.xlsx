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kash Sheet\OneDrive\Desktop\extra\Excel\"/>
    </mc:Choice>
  </mc:AlternateContent>
  <xr:revisionPtr revIDLastSave="0" documentId="13_ncr:1_{68A5579B-E425-4857-9D6C-A2FA29286343}" xr6:coauthVersionLast="47" xr6:coauthVersionMax="47" xr10:uidLastSave="{00000000-0000-0000-0000-000000000000}"/>
  <bookViews>
    <workbookView xWindow="-108" yWindow="-108" windowWidth="23256" windowHeight="12456" activeTab="2" xr2:uid="{8F36E54C-3AF9-4428-8990-A354FB32BAD9}"/>
  </bookViews>
  <sheets>
    <sheet name="raw data" sheetId="1" r:id="rId1"/>
    <sheet name="KPi" sheetId="2" r:id="rId2"/>
    <sheet name="Region" sheetId="11" r:id="rId3"/>
    <sheet name="Profit" sheetId="7" r:id="rId4"/>
  </sheets>
  <definedNames>
    <definedName name="_xlnm._FilterDatabase" localSheetId="0" hidden="1">'raw data'!$A$1:$J$21</definedName>
    <definedName name="_xlchart.v1.10" hidden="1">KPi!$N$69</definedName>
    <definedName name="_xlchart.v1.11" hidden="1">KPi!$N$70:$N$71</definedName>
    <definedName name="_xlchart.v1.18" hidden="1">KPi!$M$70:$M$71</definedName>
    <definedName name="_xlchart.v1.19" hidden="1">KPi!$N$69</definedName>
    <definedName name="_xlchart.v1.20" hidden="1">KPi!$N$70:$N$71</definedName>
    <definedName name="_xlchart.v1.3" hidden="1">KPi!$M$70:$M$71</definedName>
    <definedName name="_xlchart.v1.4" hidden="1">KPi!$N$69</definedName>
    <definedName name="_xlchart.v1.5" hidden="1">KPi!$N$70:$N$71</definedName>
    <definedName name="_xlchart.v1.6" hidden="1">KPi!$M$70:$M$71</definedName>
    <definedName name="_xlchart.v1.7" hidden="1">KPi!$N$69</definedName>
    <definedName name="_xlchart.v1.8" hidden="1">KPi!$N$70:$N$71</definedName>
    <definedName name="_xlchart.v1.9" hidden="1">KPi!$M$70:$M$71</definedName>
    <definedName name="_xlchart.v2.0" hidden="1">KPi!$O$4:$O$7</definedName>
    <definedName name="_xlchart.v2.1" hidden="1">KPi!$P$3</definedName>
    <definedName name="_xlchart.v2.12" hidden="1">KPi!$O$4:$O$7</definedName>
    <definedName name="_xlchart.v2.13" hidden="1">KPi!$P$3</definedName>
    <definedName name="_xlchart.v2.14" hidden="1">KPi!$P$4:$P$7</definedName>
    <definedName name="_xlchart.v2.15" hidden="1">KPi!$O$4:$O$7</definedName>
    <definedName name="_xlchart.v2.16" hidden="1">KPi!$P$3</definedName>
    <definedName name="_xlchart.v2.17" hidden="1">KPi!$P$4:$P$7</definedName>
    <definedName name="_xlchart.v2.2" hidden="1">KPi!$P$4:$P$7</definedName>
    <definedName name="Slicer_Category">#N/A</definedName>
    <definedName name="Slicer_Month">#N/A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2" l="1"/>
  <c r="P6" i="2"/>
  <c r="P5" i="2"/>
  <c r="P4" i="2"/>
  <c r="N72" i="2"/>
  <c r="N71" i="2"/>
  <c r="N70" i="2"/>
  <c r="P8" i="2"/>
  <c r="L11" i="2"/>
  <c r="C14" i="2"/>
  <c r="C15" i="2"/>
  <c r="C11" i="2"/>
  <c r="C12" i="2"/>
  <c r="C13" i="2"/>
  <c r="A11" i="2"/>
</calcChain>
</file>

<file path=xl/sharedStrings.xml><?xml version="1.0" encoding="utf-8"?>
<sst xmlns="http://schemas.openxmlformats.org/spreadsheetml/2006/main" count="213" uniqueCount="78">
  <si>
    <t>Product ID</t>
  </si>
  <si>
    <t>Product Name</t>
  </si>
  <si>
    <t>Category</t>
  </si>
  <si>
    <t>Region</t>
  </si>
  <si>
    <t>Sales Rep</t>
  </si>
  <si>
    <t>Units Sold</t>
  </si>
  <si>
    <t>Revenue ($)</t>
  </si>
  <si>
    <t>Cost ($)</t>
  </si>
  <si>
    <t>Profit ($)</t>
  </si>
  <si>
    <t>Month</t>
  </si>
  <si>
    <t>P001</t>
  </si>
  <si>
    <t>PainRelief Plus</t>
  </si>
  <si>
    <t>OTC</t>
  </si>
  <si>
    <t>North</t>
  </si>
  <si>
    <t>A. Sharma</t>
  </si>
  <si>
    <t>Jan</t>
  </si>
  <si>
    <t>P002</t>
  </si>
  <si>
    <t>CardioCare</t>
  </si>
  <si>
    <t>Prescription</t>
  </si>
  <si>
    <t>East</t>
  </si>
  <si>
    <t>B. Singh</t>
  </si>
  <si>
    <t>P003</t>
  </si>
  <si>
    <t>ImmunoBoost</t>
  </si>
  <si>
    <t>South</t>
  </si>
  <si>
    <t>C. Patel</t>
  </si>
  <si>
    <t>P004</t>
  </si>
  <si>
    <t>NeuroMax</t>
  </si>
  <si>
    <t>West</t>
  </si>
  <si>
    <t>D. Khan</t>
  </si>
  <si>
    <t>P005</t>
  </si>
  <si>
    <t>RespiraAid</t>
  </si>
  <si>
    <t>E. Das</t>
  </si>
  <si>
    <t>Feb</t>
  </si>
  <si>
    <t>P006</t>
  </si>
  <si>
    <t>HepaGuard</t>
  </si>
  <si>
    <t>F. Roy</t>
  </si>
  <si>
    <t>P007</t>
  </si>
  <si>
    <t>Dermacare</t>
  </si>
  <si>
    <t>G. Bose</t>
  </si>
  <si>
    <t>P008</t>
  </si>
  <si>
    <t>OsteoFlex</t>
  </si>
  <si>
    <t>H. Gupta</t>
  </si>
  <si>
    <t>P009</t>
  </si>
  <si>
    <t>VisionPro</t>
  </si>
  <si>
    <t>I. Sen</t>
  </si>
  <si>
    <t>Mar</t>
  </si>
  <si>
    <t>P010</t>
  </si>
  <si>
    <t>GlucoBalance</t>
  </si>
  <si>
    <t>J. Banerjee</t>
  </si>
  <si>
    <t>P011</t>
  </si>
  <si>
    <t>K. Mehta</t>
  </si>
  <si>
    <t>P012</t>
  </si>
  <si>
    <t>L. Chatterjee</t>
  </si>
  <si>
    <t>P013</t>
  </si>
  <si>
    <t>M. Saha</t>
  </si>
  <si>
    <t>Apr</t>
  </si>
  <si>
    <t>P014</t>
  </si>
  <si>
    <t>N. Ghosh</t>
  </si>
  <si>
    <t>P015</t>
  </si>
  <si>
    <t>O. Dutta</t>
  </si>
  <si>
    <t>P016</t>
  </si>
  <si>
    <t>P. Mukherjee</t>
  </si>
  <si>
    <t>P017</t>
  </si>
  <si>
    <t>Q. Pal</t>
  </si>
  <si>
    <t>May</t>
  </si>
  <si>
    <t>P018</t>
  </si>
  <si>
    <t>R. Chakraborty</t>
  </si>
  <si>
    <t>P019</t>
  </si>
  <si>
    <t>S. Bhattacharya</t>
  </si>
  <si>
    <t>P020</t>
  </si>
  <si>
    <t>T. Mondal</t>
  </si>
  <si>
    <t>Row Labels</t>
  </si>
  <si>
    <t>Grand Total</t>
  </si>
  <si>
    <t>Sum of Units Sold</t>
  </si>
  <si>
    <t>Sum of Profit ($)</t>
  </si>
  <si>
    <t>Count of Region</t>
  </si>
  <si>
    <t>Total Profit</t>
  </si>
  <si>
    <t>Profit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</si>
</sst>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color theme="1"/>
      <name val="Calibri"/>
      <family val="2"/>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9">
    <xf numFmtId="0" fontId="0" fillId="0" borderId="0" xfId="0"/>
    <xf numFmtId="0" fontId="0" fillId="0" borderId="0" xfId="0" pivotButton="1"/>
    <xf numFmtId="0" fontId="0" fillId="0" borderId="0" xfId="0" applyAlignment="1">
      <alignment horizontal="left"/>
    </xf>
    <xf numFmtId="9" fontId="0" fillId="0" borderId="0" xfId="1" applyFont="1"/>
    <xf numFmtId="0" fontId="18" fillId="33" borderId="13" xfId="0" applyFont="1" applyFill="1" applyBorder="1" applyAlignment="1">
      <alignment horizontal="center" vertical="center"/>
    </xf>
    <xf numFmtId="0" fontId="18" fillId="33" borderId="12" xfId="0" applyFont="1" applyFill="1" applyBorder="1" applyAlignment="1">
      <alignment horizontal="center" vertical="center"/>
    </xf>
    <xf numFmtId="0" fontId="0" fillId="34" borderId="13" xfId="0" applyFill="1" applyBorder="1" applyAlignment="1">
      <alignment horizontal="center" vertical="center"/>
    </xf>
    <xf numFmtId="0" fontId="0" fillId="34" borderId="12" xfId="0" applyFill="1"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16" fillId="34" borderId="14" xfId="0" applyFont="1" applyFill="1" applyBorder="1"/>
    <xf numFmtId="0" fontId="16" fillId="34" borderId="15" xfId="0" applyFont="1" applyFill="1" applyBorder="1" applyAlignment="1">
      <alignment horizontal="left"/>
    </xf>
    <xf numFmtId="0" fontId="0" fillId="0" borderId="0" xfId="0" applyNumberFormat="1"/>
    <xf numFmtId="0" fontId="0" fillId="0" borderId="0" xfId="0" applyAlignment="1">
      <alignment horizontal="center"/>
    </xf>
    <xf numFmtId="0" fontId="0" fillId="0" borderId="0" xfId="0" applyNumberFormat="1" applyAlignment="1">
      <alignment horizontal="center"/>
    </xf>
    <xf numFmtId="10" fontId="0" fillId="0" borderId="0" xfId="0" applyNumberFormat="1" applyAlignment="1">
      <alignment horizontal="center"/>
    </xf>
    <xf numFmtId="0" fontId="0" fillId="33" borderId="0" xfId="0" applyFill="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03E585C5-C2F6-47A5-9A78-FFC57132B74B}"/>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2">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ont>
        <color rgb="FF006100"/>
      </font>
      <fill>
        <patternFill>
          <bgColor rgb="FFC6EF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ont>
        <b val="0"/>
        <i val="0"/>
        <color theme="1" tint="0.24994659260841701"/>
      </font>
      <fill>
        <patternFill>
          <bgColor theme="5" tint="0.59996337778862885"/>
        </patternFill>
      </fill>
      <border>
        <bottom style="thin">
          <color theme="5"/>
        </bottom>
        <vertical/>
        <horizontal/>
      </border>
    </dxf>
    <dxf>
      <font>
        <color theme="1"/>
      </font>
      <fill>
        <patternFill patternType="solid">
          <fgColor rgb="FFD85A30"/>
          <bgColor rgb="FFE07A5A"/>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custom" pivot="0" table="0" count="10" xr9:uid="{4C2F97D1-3B73-462F-901E-5E1D11BB21FC}">
      <tableStyleElement type="wholeTable" dxfId="91"/>
      <tableStyleElement type="headerRow" dxfId="90"/>
    </tableStyle>
    <tableStyle name="Invisible" pivot="0" table="0" count="0" xr9:uid="{E2028C33-70D5-40C9-873D-3DA977568AE9}"/>
  </tableStyles>
  <colors>
    <mruColors>
      <color rgb="FFD85A30"/>
      <color rgb="FF712B13"/>
      <color rgb="FFF5C4B3"/>
      <color rgb="FFF0997B"/>
      <color rgb="FFECECEC"/>
      <color rgb="FFE07A5A"/>
      <color rgb="FF993C1D"/>
      <color rgb="FFCECBF6"/>
      <color rgb="FFEEEDFE"/>
    </mruColors>
  </colors>
  <extLst>
    <ext xmlns:x14="http://schemas.microsoft.com/office/spreadsheetml/2009/9/main" uri="{46F421CA-312F-682f-3DD2-61675219B42D}">
      <x14:dxfs count="8">
        <dxf>
          <font>
            <color rgb="FF000000"/>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5117038483843"/>
              <bgColor theme="5" tint="-0.24994659260841701"/>
            </patternFill>
          </fill>
          <border>
            <left style="thin">
              <color rgb="FFCCCCCC"/>
            </left>
            <right style="thin">
              <color rgb="FFCCCCCC"/>
            </right>
            <top style="thin">
              <color rgb="FFCCCCCC"/>
            </top>
            <bottom style="thin">
              <color rgb="FFCCCCCC"/>
            </bottom>
            <vertical/>
            <horizontal/>
          </border>
        </dxf>
        <dxf>
          <font>
            <color theme="1" tint="0.14996795556505021"/>
          </font>
          <fill>
            <patternFill patternType="solid">
              <fgColor theme="0"/>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dash.xlsx]KPi!PivotTable1</c:name>
    <c:fmtId val="0"/>
  </c:pivotSource>
  <c:chart>
    <c:title>
      <c:tx>
        <c:strRef>
          <c:f>KPi!$A$11</c:f>
          <c:strCache>
            <c:ptCount val="1"/>
            <c:pt idx="0">
              <c:v>143500</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446981627296588"/>
          <c:y val="0.15988444152814232"/>
          <c:w val="0.86497462817147852"/>
          <c:h val="0.70993839311752693"/>
        </c:manualLayout>
      </c:layout>
      <c:barChart>
        <c:barDir val="col"/>
        <c:grouping val="clustered"/>
        <c:varyColors val="0"/>
        <c:ser>
          <c:idx val="0"/>
          <c:order val="0"/>
          <c:tx>
            <c:strRef>
              <c:f>KPi!$C$2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2C-42C4-99E6-E94CE7207CAD}"/>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E2C-42C4-99E6-E94CE7207CAD}"/>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2C-42C4-99E6-E94CE7207CAD}"/>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E2C-42C4-99E6-E94CE7207CAD}"/>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2C-42C4-99E6-E94CE7207C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KPi!$B$3:$B$8</c:f>
              <c:strCache>
                <c:ptCount val="5"/>
                <c:pt idx="0">
                  <c:v>Jan</c:v>
                </c:pt>
                <c:pt idx="1">
                  <c:v>Feb</c:v>
                </c:pt>
                <c:pt idx="2">
                  <c:v>Mar</c:v>
                </c:pt>
                <c:pt idx="3">
                  <c:v>Apr</c:v>
                </c:pt>
                <c:pt idx="4">
                  <c:v>May</c:v>
                </c:pt>
              </c:strCache>
            </c:strRef>
          </c:cat>
          <c:val>
            <c:numRef>
              <c:f>KPi!$C$3:$C$8</c:f>
              <c:numCache>
                <c:formatCode>General</c:formatCode>
                <c:ptCount val="5"/>
                <c:pt idx="0">
                  <c:v>29000</c:v>
                </c:pt>
                <c:pt idx="1">
                  <c:v>28500</c:v>
                </c:pt>
                <c:pt idx="2">
                  <c:v>24500</c:v>
                </c:pt>
                <c:pt idx="3">
                  <c:v>33900</c:v>
                </c:pt>
                <c:pt idx="4">
                  <c:v>27600</c:v>
                </c:pt>
              </c:numCache>
            </c:numRef>
          </c:val>
          <c:extLst>
            <c:ext xmlns:c16="http://schemas.microsoft.com/office/drawing/2014/chart" uri="{C3380CC4-5D6E-409C-BE32-E72D297353CC}">
              <c16:uniqueId val="{00000000-3E2C-42C4-99E6-E94CE7207CAD}"/>
            </c:ext>
          </c:extLst>
        </c:ser>
        <c:dLbls>
          <c:dLblPos val="outEnd"/>
          <c:showLegendKey val="0"/>
          <c:showVal val="1"/>
          <c:showCatName val="0"/>
          <c:showSerName val="0"/>
          <c:showPercent val="0"/>
          <c:showBubbleSize val="0"/>
        </c:dLbls>
        <c:gapWidth val="100"/>
        <c:overlap val="-24"/>
        <c:axId val="485479376"/>
        <c:axId val="485480336"/>
      </c:barChart>
      <c:catAx>
        <c:axId val="485479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80336"/>
        <c:crosses val="autoZero"/>
        <c:auto val="1"/>
        <c:lblAlgn val="ctr"/>
        <c:lblOffset val="100"/>
        <c:noMultiLvlLbl val="0"/>
      </c:catAx>
      <c:valAx>
        <c:axId val="48548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7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dash.xlsx]KPi!PivotTable4</c:name>
    <c:fmtId val="0"/>
  </c:pivotSource>
  <c:chart>
    <c:title>
      <c:tx>
        <c:strRef>
          <c:f>KPi!$L$11</c:f>
          <c:strCache>
            <c:ptCount val="1"/>
            <c:pt idx="0">
              <c:v>2396</c:v>
            </c:pt>
          </c:strCache>
        </c:strRef>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5.6268618263207899E-2"/>
          <c:y val="0.13673629337999416"/>
          <c:w val="0.56395692102904316"/>
          <c:h val="0.76604148439778363"/>
        </c:manualLayout>
      </c:layout>
      <c:pieChart>
        <c:varyColors val="1"/>
        <c:ser>
          <c:idx val="0"/>
          <c:order val="0"/>
          <c:tx>
            <c:strRef>
              <c:f>KPi!$L$11</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E1-4A1B-8968-A7314B1206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E1-4A1B-8968-A7314B1206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E1-4A1B-8968-A7314B1206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E1-4A1B-8968-A7314B1206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KPi!$L$11</c:f>
              <c:strCache>
                <c:ptCount val="4"/>
                <c:pt idx="0">
                  <c:v>East</c:v>
                </c:pt>
                <c:pt idx="1">
                  <c:v>North</c:v>
                </c:pt>
                <c:pt idx="2">
                  <c:v>South</c:v>
                </c:pt>
                <c:pt idx="3">
                  <c:v>West</c:v>
                </c:pt>
              </c:strCache>
            </c:strRef>
          </c:cat>
          <c:val>
            <c:numRef>
              <c:f>KPi!$L$11</c:f>
              <c:numCache>
                <c:formatCode>General</c:formatCode>
                <c:ptCount val="4"/>
                <c:pt idx="0">
                  <c:v>398</c:v>
                </c:pt>
                <c:pt idx="1">
                  <c:v>800</c:v>
                </c:pt>
                <c:pt idx="2">
                  <c:v>810</c:v>
                </c:pt>
                <c:pt idx="3">
                  <c:v>388</c:v>
                </c:pt>
              </c:numCache>
            </c:numRef>
          </c:val>
          <c:extLst>
            <c:ext xmlns:c16="http://schemas.microsoft.com/office/drawing/2014/chart" uri="{C3380CC4-5D6E-409C-BE32-E72D297353CC}">
              <c16:uniqueId val="{00000000-5F5C-4D0F-9266-88999C81FB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dash.xlsx]KPi!PivotTable3</c:name>
    <c:fmtId val="0"/>
  </c:pivotSource>
  <c:chart>
    <c:title>
      <c:tx>
        <c:strRef>
          <c:f>KPi!$A$11</c:f>
          <c:strCache>
            <c:ptCount val="1"/>
            <c:pt idx="0">
              <c:v>143500</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47030544027688"/>
          <c:y val="0.20336954408476718"/>
          <c:w val="0.73979823163387137"/>
          <c:h val="0.67770932568614106"/>
        </c:manualLayout>
      </c:layout>
      <c:barChart>
        <c:barDir val="bar"/>
        <c:grouping val="clustered"/>
        <c:varyColors val="0"/>
        <c:ser>
          <c:idx val="0"/>
          <c:order val="0"/>
          <c:tx>
            <c:strRef>
              <c:f>KPi!$A$11</c:f>
              <c:strCache>
                <c:ptCount val="1"/>
                <c:pt idx="0">
                  <c:v>Total</c:v>
                </c:pt>
              </c:strCache>
            </c:strRef>
          </c:tx>
          <c:spPr>
            <a:solidFill>
              <a:schemeClr val="accent1"/>
            </a:solidFill>
            <a:ln>
              <a:noFill/>
            </a:ln>
            <a:effectLst/>
          </c:spPr>
          <c:invertIfNegative val="0"/>
          <c:cat>
            <c:strRef>
              <c:f>KPi!$A$11</c:f>
              <c:strCache>
                <c:ptCount val="2"/>
                <c:pt idx="0">
                  <c:v>OTC</c:v>
                </c:pt>
                <c:pt idx="1">
                  <c:v>Prescription</c:v>
                </c:pt>
              </c:strCache>
            </c:strRef>
          </c:cat>
          <c:val>
            <c:numRef>
              <c:f>KPi!$A$11</c:f>
              <c:numCache>
                <c:formatCode>General</c:formatCode>
                <c:ptCount val="2"/>
                <c:pt idx="0">
                  <c:v>54900</c:v>
                </c:pt>
                <c:pt idx="1">
                  <c:v>88600</c:v>
                </c:pt>
              </c:numCache>
            </c:numRef>
          </c:val>
          <c:extLst>
            <c:ext xmlns:c16="http://schemas.microsoft.com/office/drawing/2014/chart" uri="{C3380CC4-5D6E-409C-BE32-E72D297353CC}">
              <c16:uniqueId val="{00000000-E533-451F-B369-54DD1348EB17}"/>
            </c:ext>
          </c:extLst>
        </c:ser>
        <c:dLbls>
          <c:showLegendKey val="0"/>
          <c:showVal val="0"/>
          <c:showCatName val="0"/>
          <c:showSerName val="0"/>
          <c:showPercent val="0"/>
          <c:showBubbleSize val="0"/>
        </c:dLbls>
        <c:gapWidth val="182"/>
        <c:axId val="828011520"/>
        <c:axId val="828011040"/>
      </c:barChart>
      <c:catAx>
        <c:axId val="82801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11040"/>
        <c:crosses val="autoZero"/>
        <c:auto val="1"/>
        <c:lblAlgn val="ctr"/>
        <c:lblOffset val="100"/>
        <c:noMultiLvlLbl val="0"/>
      </c:catAx>
      <c:valAx>
        <c:axId val="82801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KPi!$W$18</c:f>
              <c:strCache>
                <c:ptCount val="1"/>
                <c:pt idx="0">
                  <c:v>Total</c:v>
                </c:pt>
              </c:strCache>
            </c:strRef>
          </c:tx>
          <c:spPr>
            <a:solidFill>
              <a:schemeClr val="accent1"/>
            </a:solidFill>
            <a:ln>
              <a:noFill/>
            </a:ln>
            <a:effectLst/>
          </c:spPr>
          <c:invertIfNegative val="0"/>
          <c:cat>
            <c:strRef>
              <c:f>KPi!$V$19:$V$29</c:f>
              <c:strCache>
                <c:ptCount val="10"/>
                <c:pt idx="0">
                  <c:v>CardioCare</c:v>
                </c:pt>
                <c:pt idx="1">
                  <c:v>Dermacare</c:v>
                </c:pt>
                <c:pt idx="2">
                  <c:v>GlucoBalance</c:v>
                </c:pt>
                <c:pt idx="3">
                  <c:v>HepaGuard</c:v>
                </c:pt>
                <c:pt idx="4">
                  <c:v>ImmunoBoost</c:v>
                </c:pt>
                <c:pt idx="5">
                  <c:v>NeuroMax</c:v>
                </c:pt>
                <c:pt idx="6">
                  <c:v>OsteoFlex</c:v>
                </c:pt>
                <c:pt idx="7">
                  <c:v>PainRelief Plus</c:v>
                </c:pt>
                <c:pt idx="8">
                  <c:v>RespiraAid</c:v>
                </c:pt>
                <c:pt idx="9">
                  <c:v>VisionPro</c:v>
                </c:pt>
              </c:strCache>
            </c:strRef>
          </c:cat>
          <c:val>
            <c:numRef>
              <c:f>KPi!$W$19:$W$29</c:f>
              <c:numCache>
                <c:formatCode>General</c:formatCode>
                <c:ptCount val="10"/>
                <c:pt idx="0">
                  <c:v>150</c:v>
                </c:pt>
                <c:pt idx="1">
                  <c:v>350</c:v>
                </c:pt>
                <c:pt idx="2">
                  <c:v>173</c:v>
                </c:pt>
                <c:pt idx="3">
                  <c:v>185</c:v>
                </c:pt>
                <c:pt idx="4">
                  <c:v>310</c:v>
                </c:pt>
                <c:pt idx="5">
                  <c:v>125</c:v>
                </c:pt>
                <c:pt idx="6">
                  <c:v>153</c:v>
                </c:pt>
                <c:pt idx="7">
                  <c:v>250</c:v>
                </c:pt>
                <c:pt idx="8">
                  <c:v>410</c:v>
                </c:pt>
                <c:pt idx="9">
                  <c:v>290</c:v>
                </c:pt>
              </c:numCache>
            </c:numRef>
          </c:val>
          <c:extLst>
            <c:ext xmlns:c16="http://schemas.microsoft.com/office/drawing/2014/chart" uri="{C3380CC4-5D6E-409C-BE32-E72D297353CC}">
              <c16:uniqueId val="{00000000-1401-42A6-8294-7D463A7D0144}"/>
            </c:ext>
          </c:extLst>
        </c:ser>
        <c:dLbls>
          <c:showLegendKey val="0"/>
          <c:showVal val="0"/>
          <c:showCatName val="0"/>
          <c:showSerName val="0"/>
          <c:showPercent val="0"/>
          <c:showBubbleSize val="0"/>
        </c:dLbls>
        <c:gapWidth val="182"/>
        <c:axId val="701795999"/>
        <c:axId val="701818079"/>
      </c:barChart>
      <c:catAx>
        <c:axId val="70179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818079"/>
        <c:crosses val="autoZero"/>
        <c:auto val="1"/>
        <c:lblAlgn val="ctr"/>
        <c:lblOffset val="100"/>
        <c:noMultiLvlLbl val="0"/>
      </c:catAx>
      <c:valAx>
        <c:axId val="70181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9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KPi!$L$57</c:f>
              <c:strCache>
                <c:ptCount val="1"/>
                <c:pt idx="0">
                  <c:v>Total</c:v>
                </c:pt>
              </c:strCache>
            </c:strRef>
          </c:tx>
          <c:spPr>
            <a:solidFill>
              <a:schemeClr val="accent1"/>
            </a:solidFill>
            <a:ln>
              <a:noFill/>
            </a:ln>
            <a:effectLst/>
            <a:sp3d/>
          </c:spPr>
          <c:invertIfNegative val="0"/>
          <c:cat>
            <c:strRef>
              <c:f>KPi!$K$58:$K$60</c:f>
              <c:strCache>
                <c:ptCount val="2"/>
                <c:pt idx="0">
                  <c:v>OTC</c:v>
                </c:pt>
                <c:pt idx="1">
                  <c:v>Prescription</c:v>
                </c:pt>
              </c:strCache>
            </c:strRef>
          </c:cat>
          <c:val>
            <c:numRef>
              <c:f>KPi!$L$58:$L$60</c:f>
              <c:numCache>
                <c:formatCode>General</c:formatCode>
                <c:ptCount val="2"/>
                <c:pt idx="0">
                  <c:v>10</c:v>
                </c:pt>
                <c:pt idx="1">
                  <c:v>10</c:v>
                </c:pt>
              </c:numCache>
            </c:numRef>
          </c:val>
          <c:extLst>
            <c:ext xmlns:c16="http://schemas.microsoft.com/office/drawing/2014/chart" uri="{C3380CC4-5D6E-409C-BE32-E72D297353CC}">
              <c16:uniqueId val="{00000002-ECAE-4887-9EF5-AAC448B4645A}"/>
            </c:ext>
          </c:extLst>
        </c:ser>
        <c:dLbls>
          <c:showLegendKey val="0"/>
          <c:showVal val="0"/>
          <c:showCatName val="0"/>
          <c:showSerName val="0"/>
          <c:showPercent val="0"/>
          <c:showBubbleSize val="0"/>
        </c:dLbls>
        <c:gapWidth val="150"/>
        <c:shape val="box"/>
        <c:axId val="336704367"/>
        <c:axId val="336689967"/>
        <c:axId val="0"/>
      </c:bar3DChart>
      <c:catAx>
        <c:axId val="33670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89967"/>
        <c:crosses val="autoZero"/>
        <c:auto val="1"/>
        <c:lblAlgn val="ctr"/>
        <c:lblOffset val="100"/>
        <c:noMultiLvlLbl val="0"/>
      </c:catAx>
      <c:valAx>
        <c:axId val="33668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0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dash.xlsx]KPi!PivotTable11</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KPi!$R$69</c:f>
              <c:strCache>
                <c:ptCount val="1"/>
                <c:pt idx="0">
                  <c:v>Total 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KPi!$Q$70:$Q$80</c:f>
              <c:strCache>
                <c:ptCount val="10"/>
                <c:pt idx="0">
                  <c:v>CardioCare</c:v>
                </c:pt>
                <c:pt idx="1">
                  <c:v>Dermacare</c:v>
                </c:pt>
                <c:pt idx="2">
                  <c:v>GlucoBalance</c:v>
                </c:pt>
                <c:pt idx="3">
                  <c:v>HepaGuard</c:v>
                </c:pt>
                <c:pt idx="4">
                  <c:v>ImmunoBoost</c:v>
                </c:pt>
                <c:pt idx="5">
                  <c:v>NeuroMax</c:v>
                </c:pt>
                <c:pt idx="6">
                  <c:v>OsteoFlex</c:v>
                </c:pt>
                <c:pt idx="7">
                  <c:v>PainRelief Plus</c:v>
                </c:pt>
                <c:pt idx="8">
                  <c:v>RespiraAid</c:v>
                </c:pt>
                <c:pt idx="9">
                  <c:v>VisionPro</c:v>
                </c:pt>
              </c:strCache>
            </c:strRef>
          </c:cat>
          <c:val>
            <c:numRef>
              <c:f>KPi!$R$70:$R$80</c:f>
              <c:numCache>
                <c:formatCode>General</c:formatCode>
                <c:ptCount val="10"/>
                <c:pt idx="0">
                  <c:v>16000</c:v>
                </c:pt>
                <c:pt idx="1">
                  <c:v>12000</c:v>
                </c:pt>
                <c:pt idx="2">
                  <c:v>17300</c:v>
                </c:pt>
                <c:pt idx="3">
                  <c:v>18500</c:v>
                </c:pt>
                <c:pt idx="4">
                  <c:v>12400</c:v>
                </c:pt>
                <c:pt idx="5">
                  <c:v>21500</c:v>
                </c:pt>
                <c:pt idx="6">
                  <c:v>15300</c:v>
                </c:pt>
                <c:pt idx="7">
                  <c:v>8000</c:v>
                </c:pt>
                <c:pt idx="8">
                  <c:v>12500</c:v>
                </c:pt>
                <c:pt idx="9">
                  <c:v>10000</c:v>
                </c:pt>
              </c:numCache>
            </c:numRef>
          </c:val>
          <c:extLst>
            <c:ext xmlns:c16="http://schemas.microsoft.com/office/drawing/2014/chart" uri="{C3380CC4-5D6E-409C-BE32-E72D297353CC}">
              <c16:uniqueId val="{00000000-5CE3-4005-BB28-39956AE233F5}"/>
            </c:ext>
          </c:extLst>
        </c:ser>
        <c:ser>
          <c:idx val="1"/>
          <c:order val="1"/>
          <c:tx>
            <c:strRef>
              <c:f>KPi!$S$69</c:f>
              <c:strCache>
                <c:ptCount val="1"/>
                <c:pt idx="0">
                  <c:v>Profit by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KPi!$Q$70:$Q$80</c:f>
              <c:strCache>
                <c:ptCount val="10"/>
                <c:pt idx="0">
                  <c:v>CardioCare</c:v>
                </c:pt>
                <c:pt idx="1">
                  <c:v>Dermacare</c:v>
                </c:pt>
                <c:pt idx="2">
                  <c:v>GlucoBalance</c:v>
                </c:pt>
                <c:pt idx="3">
                  <c:v>HepaGuard</c:v>
                </c:pt>
                <c:pt idx="4">
                  <c:v>ImmunoBoost</c:v>
                </c:pt>
                <c:pt idx="5">
                  <c:v>NeuroMax</c:v>
                </c:pt>
                <c:pt idx="6">
                  <c:v>OsteoFlex</c:v>
                </c:pt>
                <c:pt idx="7">
                  <c:v>PainRelief Plus</c:v>
                </c:pt>
                <c:pt idx="8">
                  <c:v>RespiraAid</c:v>
                </c:pt>
                <c:pt idx="9">
                  <c:v>VisionPro</c:v>
                </c:pt>
              </c:strCache>
            </c:strRef>
          </c:cat>
          <c:val>
            <c:numRef>
              <c:f>KPi!$S$70:$S$80</c:f>
              <c:numCache>
                <c:formatCode>0.00%</c:formatCode>
                <c:ptCount val="10"/>
                <c:pt idx="0">
                  <c:v>0.11149825783972125</c:v>
                </c:pt>
                <c:pt idx="1">
                  <c:v>8.3623693379790948E-2</c:v>
                </c:pt>
                <c:pt idx="2">
                  <c:v>0.12055749128919861</c:v>
                </c:pt>
                <c:pt idx="3">
                  <c:v>0.1289198606271777</c:v>
                </c:pt>
                <c:pt idx="4">
                  <c:v>8.6411149825783976E-2</c:v>
                </c:pt>
                <c:pt idx="5">
                  <c:v>0.14982578397212543</c:v>
                </c:pt>
                <c:pt idx="6">
                  <c:v>0.10662020905923345</c:v>
                </c:pt>
                <c:pt idx="7">
                  <c:v>5.5749128919860627E-2</c:v>
                </c:pt>
                <c:pt idx="8">
                  <c:v>8.7108013937282236E-2</c:v>
                </c:pt>
                <c:pt idx="9">
                  <c:v>6.968641114982578E-2</c:v>
                </c:pt>
              </c:numCache>
            </c:numRef>
          </c:val>
          <c:extLst>
            <c:ext xmlns:c16="http://schemas.microsoft.com/office/drawing/2014/chart" uri="{C3380CC4-5D6E-409C-BE32-E72D297353CC}">
              <c16:uniqueId val="{00000001-5CE3-4005-BB28-39956AE233F5}"/>
            </c:ext>
          </c:extLst>
        </c:ser>
        <c:dLbls>
          <c:showLegendKey val="0"/>
          <c:showVal val="1"/>
          <c:showCatName val="0"/>
          <c:showSerName val="0"/>
          <c:showPercent val="0"/>
          <c:showBubbleSize val="0"/>
        </c:dLbls>
        <c:gapWidth val="150"/>
        <c:shape val="box"/>
        <c:axId val="784996495"/>
        <c:axId val="784992175"/>
        <c:axId val="0"/>
      </c:bar3DChart>
      <c:catAx>
        <c:axId val="78499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92175"/>
        <c:crosses val="autoZero"/>
        <c:auto val="1"/>
        <c:lblAlgn val="ctr"/>
        <c:lblOffset val="100"/>
        <c:noMultiLvlLbl val="0"/>
      </c:catAx>
      <c:valAx>
        <c:axId val="784992175"/>
        <c:scaling>
          <c:orientation val="minMax"/>
        </c:scaling>
        <c:delete val="1"/>
        <c:axPos val="b"/>
        <c:numFmt formatCode="General" sourceLinked="1"/>
        <c:majorTickMark val="none"/>
        <c:minorTickMark val="none"/>
        <c:tickLblPos val="nextTo"/>
        <c:crossAx val="78499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12B13"/>
                </a:solidFill>
              </a:rPr>
              <a:t>Products vs No.</a:t>
            </a:r>
            <a:r>
              <a:rPr lang="en-US" b="1" baseline="0">
                <a:solidFill>
                  <a:srgbClr val="712B13"/>
                </a:solidFill>
              </a:rPr>
              <a:t> of</a:t>
            </a:r>
            <a:r>
              <a:rPr lang="en-US" b="1">
                <a:solidFill>
                  <a:srgbClr val="712B13"/>
                </a:solidFill>
              </a:rPr>
              <a:t> Sell</a:t>
            </a:r>
          </a:p>
        </c:rich>
      </c:tx>
      <c:layout>
        <c:manualLayout>
          <c:xMode val="edge"/>
          <c:yMode val="edge"/>
          <c:x val="0.3665001983272991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26705825758916"/>
          <c:y val="0.10245841313754701"/>
          <c:w val="0.78007086614173227"/>
          <c:h val="0.85528215223097115"/>
        </c:manualLayout>
      </c:layout>
      <c:barChart>
        <c:barDir val="bar"/>
        <c:grouping val="clustered"/>
        <c:varyColors val="0"/>
        <c:ser>
          <c:idx val="0"/>
          <c:order val="0"/>
          <c:tx>
            <c:strRef>
              <c:f>KPi!$W$18</c:f>
              <c:strCache>
                <c:ptCount val="1"/>
                <c:pt idx="0">
                  <c:v>Total</c:v>
                </c:pt>
              </c:strCache>
            </c:strRef>
          </c:tx>
          <c:spPr>
            <a:solidFill>
              <a:srgbClr val="D85A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KPi!$V$19:$V$29</c:f>
              <c:strCache>
                <c:ptCount val="10"/>
                <c:pt idx="0">
                  <c:v>CardioCare</c:v>
                </c:pt>
                <c:pt idx="1">
                  <c:v>Dermacare</c:v>
                </c:pt>
                <c:pt idx="2">
                  <c:v>GlucoBalance</c:v>
                </c:pt>
                <c:pt idx="3">
                  <c:v>HepaGuard</c:v>
                </c:pt>
                <c:pt idx="4">
                  <c:v>ImmunoBoost</c:v>
                </c:pt>
                <c:pt idx="5">
                  <c:v>NeuroMax</c:v>
                </c:pt>
                <c:pt idx="6">
                  <c:v>OsteoFlex</c:v>
                </c:pt>
                <c:pt idx="7">
                  <c:v>PainRelief Plus</c:v>
                </c:pt>
                <c:pt idx="8">
                  <c:v>RespiraAid</c:v>
                </c:pt>
                <c:pt idx="9">
                  <c:v>VisionPro</c:v>
                </c:pt>
              </c:strCache>
            </c:strRef>
          </c:cat>
          <c:val>
            <c:numRef>
              <c:f>KPi!$W$19:$W$29</c:f>
              <c:numCache>
                <c:formatCode>General</c:formatCode>
                <c:ptCount val="10"/>
                <c:pt idx="0">
                  <c:v>150</c:v>
                </c:pt>
                <c:pt idx="1">
                  <c:v>350</c:v>
                </c:pt>
                <c:pt idx="2">
                  <c:v>173</c:v>
                </c:pt>
                <c:pt idx="3">
                  <c:v>185</c:v>
                </c:pt>
                <c:pt idx="4">
                  <c:v>310</c:v>
                </c:pt>
                <c:pt idx="5">
                  <c:v>125</c:v>
                </c:pt>
                <c:pt idx="6">
                  <c:v>153</c:v>
                </c:pt>
                <c:pt idx="7">
                  <c:v>250</c:v>
                </c:pt>
                <c:pt idx="8">
                  <c:v>410</c:v>
                </c:pt>
                <c:pt idx="9">
                  <c:v>290</c:v>
                </c:pt>
              </c:numCache>
            </c:numRef>
          </c:val>
          <c:extLst>
            <c:ext xmlns:c16="http://schemas.microsoft.com/office/drawing/2014/chart" uri="{C3380CC4-5D6E-409C-BE32-E72D297353CC}">
              <c16:uniqueId val="{00000000-C2A2-447B-AA22-5654B682096A}"/>
            </c:ext>
          </c:extLst>
        </c:ser>
        <c:dLbls>
          <c:dLblPos val="outEnd"/>
          <c:showLegendKey val="0"/>
          <c:showVal val="1"/>
          <c:showCatName val="0"/>
          <c:showSerName val="0"/>
          <c:showPercent val="0"/>
          <c:showBubbleSize val="0"/>
        </c:dLbls>
        <c:gapWidth val="182"/>
        <c:axId val="701795999"/>
        <c:axId val="701818079"/>
      </c:barChart>
      <c:catAx>
        <c:axId val="70179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712B13"/>
                </a:solidFill>
                <a:latin typeface="+mn-lt"/>
                <a:ea typeface="+mn-ea"/>
                <a:cs typeface="+mn-cs"/>
              </a:defRPr>
            </a:pPr>
            <a:endParaRPr lang="en-US"/>
          </a:p>
        </c:txPr>
        <c:crossAx val="701818079"/>
        <c:crosses val="autoZero"/>
        <c:auto val="1"/>
        <c:lblAlgn val="ctr"/>
        <c:lblOffset val="100"/>
        <c:noMultiLvlLbl val="0"/>
      </c:catAx>
      <c:valAx>
        <c:axId val="701818079"/>
        <c:scaling>
          <c:orientation val="minMax"/>
        </c:scaling>
        <c:delete val="1"/>
        <c:axPos val="b"/>
        <c:numFmt formatCode="General" sourceLinked="1"/>
        <c:majorTickMark val="none"/>
        <c:minorTickMark val="none"/>
        <c:tickLblPos val="nextTo"/>
        <c:crossAx val="70179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712B13"/>
                </a:solidFill>
              </a:rPr>
              <a:t>Total Unit Sold</a:t>
            </a:r>
          </a:p>
        </c:rich>
      </c:tx>
      <c:layout>
        <c:manualLayout>
          <c:xMode val="edge"/>
          <c:yMode val="edge"/>
          <c:x val="0.66257358823968937"/>
          <c:y val="4.7468354430379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6268618263207899E-2"/>
          <c:y val="0.13673629337999416"/>
          <c:w val="0.56395692102904316"/>
          <c:h val="0.76604148439778363"/>
        </c:manualLayout>
      </c:layout>
      <c:pieChart>
        <c:varyColors val="1"/>
        <c:ser>
          <c:idx val="0"/>
          <c:order val="0"/>
          <c:tx>
            <c:strRef>
              <c:f>KPi!$L$3</c:f>
              <c:strCache>
                <c:ptCount val="1"/>
                <c:pt idx="0">
                  <c:v>Total</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E9-40F0-A018-F8730C80F0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E9-40F0-A018-F8730C80F0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E9-40F0-A018-F8730C80F09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E9-40F0-A018-F8730C80F09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KPi!$K$4:$K$8</c:f>
              <c:strCache>
                <c:ptCount val="4"/>
                <c:pt idx="0">
                  <c:v>East</c:v>
                </c:pt>
                <c:pt idx="1">
                  <c:v>North</c:v>
                </c:pt>
                <c:pt idx="2">
                  <c:v>South</c:v>
                </c:pt>
                <c:pt idx="3">
                  <c:v>West</c:v>
                </c:pt>
              </c:strCache>
            </c:strRef>
          </c:cat>
          <c:val>
            <c:numRef>
              <c:f>KPi!$L$4:$L$8</c:f>
              <c:numCache>
                <c:formatCode>General</c:formatCode>
                <c:ptCount val="4"/>
                <c:pt idx="0">
                  <c:v>398</c:v>
                </c:pt>
                <c:pt idx="1">
                  <c:v>800</c:v>
                </c:pt>
                <c:pt idx="2">
                  <c:v>810</c:v>
                </c:pt>
                <c:pt idx="3">
                  <c:v>388</c:v>
                </c:pt>
              </c:numCache>
            </c:numRef>
          </c:val>
          <c:extLst>
            <c:ext xmlns:c16="http://schemas.microsoft.com/office/drawing/2014/chart" uri="{C3380CC4-5D6E-409C-BE32-E72D297353CC}">
              <c16:uniqueId val="{00000008-FFE9-40F0-A018-F8730C80F09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712B13"/>
                </a:solidFill>
              </a:rPr>
              <a:t>No</a:t>
            </a:r>
            <a:r>
              <a:rPr lang="en-IN" sz="1600" b="1" baseline="0">
                <a:solidFill>
                  <a:srgbClr val="712B13"/>
                </a:solidFill>
              </a:rPr>
              <a:t>. of Catagory</a:t>
            </a:r>
            <a:endParaRPr lang="en-IN" sz="1600" b="1">
              <a:solidFill>
                <a:srgbClr val="712B13"/>
              </a:solidFill>
            </a:endParaRPr>
          </a:p>
        </c:rich>
      </c:tx>
      <c:layout>
        <c:manualLayout>
          <c:xMode val="edge"/>
          <c:yMode val="edge"/>
          <c:x val="6.5733139740511157E-4"/>
          <c:y val="5.1921079958463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236406619385346E-2"/>
          <c:y val="0.14394894563413219"/>
          <c:w val="0.93498817966903069"/>
          <c:h val="0.67525206193885956"/>
        </c:manualLayout>
      </c:layout>
      <c:bar3DChart>
        <c:barDir val="col"/>
        <c:grouping val="clustered"/>
        <c:varyColors val="0"/>
        <c:ser>
          <c:idx val="0"/>
          <c:order val="0"/>
          <c:tx>
            <c:strRef>
              <c:f>KPi!$L$57</c:f>
              <c:strCache>
                <c:ptCount val="1"/>
                <c:pt idx="0">
                  <c:v>Total</c:v>
                </c:pt>
              </c:strCache>
            </c:strRef>
          </c:tx>
          <c:spPr>
            <a:solidFill>
              <a:schemeClr val="accent4">
                <a:lumMod val="75000"/>
              </a:schemeClr>
            </a:solidFill>
            <a:ln>
              <a:noFill/>
            </a:ln>
            <a:effectLst/>
            <a:sp3d/>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KPi!$K$58:$K$60</c:f>
              <c:strCache>
                <c:ptCount val="2"/>
                <c:pt idx="0">
                  <c:v>OTC</c:v>
                </c:pt>
                <c:pt idx="1">
                  <c:v>Prescription</c:v>
                </c:pt>
              </c:strCache>
            </c:strRef>
          </c:cat>
          <c:val>
            <c:numRef>
              <c:f>KPi!$L$58:$L$60</c:f>
              <c:numCache>
                <c:formatCode>General</c:formatCode>
                <c:ptCount val="2"/>
                <c:pt idx="0">
                  <c:v>10</c:v>
                </c:pt>
                <c:pt idx="1">
                  <c:v>10</c:v>
                </c:pt>
              </c:numCache>
            </c:numRef>
          </c:val>
          <c:extLst>
            <c:ext xmlns:c16="http://schemas.microsoft.com/office/drawing/2014/chart" uri="{C3380CC4-5D6E-409C-BE32-E72D297353CC}">
              <c16:uniqueId val="{00000000-C17A-4A0A-92F6-AC2D282D1387}"/>
            </c:ext>
          </c:extLst>
        </c:ser>
        <c:dLbls>
          <c:showLegendKey val="0"/>
          <c:showVal val="0"/>
          <c:showCatName val="0"/>
          <c:showSerName val="0"/>
          <c:showPercent val="0"/>
          <c:showBubbleSize val="0"/>
        </c:dLbls>
        <c:gapWidth val="150"/>
        <c:shape val="box"/>
        <c:axId val="336704367"/>
        <c:axId val="336689967"/>
        <c:axId val="0"/>
      </c:bar3DChart>
      <c:catAx>
        <c:axId val="336704367"/>
        <c:scaling>
          <c:orientation val="minMax"/>
        </c:scaling>
        <c:delete val="0"/>
        <c:axPos val="b"/>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36689967"/>
        <c:crosses val="autoZero"/>
        <c:auto val="1"/>
        <c:lblAlgn val="ctr"/>
        <c:lblOffset val="100"/>
        <c:noMultiLvlLbl val="0"/>
      </c:catAx>
      <c:valAx>
        <c:axId val="336689967"/>
        <c:scaling>
          <c:orientation val="minMax"/>
        </c:scaling>
        <c:delete val="1"/>
        <c:axPos val="l"/>
        <c:numFmt formatCode="General" sourceLinked="1"/>
        <c:majorTickMark val="none"/>
        <c:minorTickMark val="none"/>
        <c:tickLblPos val="nextTo"/>
        <c:crossAx val="33670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dash.xlsx]KPi!PivotTable1</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rgbClr val="712B13"/>
                </a:solidFill>
              </a:rPr>
              <a:t>Month VS Profit</a:t>
            </a:r>
          </a:p>
        </c:rich>
      </c:tx>
      <c:layout>
        <c:manualLayout>
          <c:xMode val="edge"/>
          <c:yMode val="edge"/>
          <c:x val="1.9806272176214175E-2"/>
          <c:y val="5.8572974505033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5.5555555555555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7A023D-5483-4CCA-91EE-096BCD84B22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16666666666666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B842B3-699D-4ED1-A775-D2EAB27A8A7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55555555555556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B8F5EF-3F1B-4292-AFF3-8216DDD7757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5555555555555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D3876E-2230-41C6-B53C-D4ADC1CAD3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F35C86-0238-40FB-A948-F23366D5F0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5.5555555555555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7A023D-5483-4CCA-91EE-096BCD84B22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16666666666666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B842B3-699D-4ED1-A775-D2EAB27A8A7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55555555555556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B8F5EF-3F1B-4292-AFF3-8216DDD7757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55555555555555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D3876E-2230-41C6-B53C-D4ADC1CAD3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F35C86-0238-40FB-A948-F23366D5F0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D85A3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85A30"/>
          </a:solidFill>
          <a:ln>
            <a:noFill/>
          </a:ln>
          <a:effectLst>
            <a:outerShdw blurRad="57150" dist="19050" dir="5400000" algn="ctr" rotWithShape="0">
              <a:srgbClr val="000000">
                <a:alpha val="63000"/>
              </a:srgbClr>
            </a:outerShdw>
          </a:effectLst>
        </c:spPr>
      </c:pivotFmt>
      <c:pivotFmt>
        <c:idx val="15"/>
        <c:spPr>
          <a:solidFill>
            <a:srgbClr val="D85A30"/>
          </a:solidFill>
          <a:ln>
            <a:noFill/>
          </a:ln>
          <a:effectLst>
            <a:outerShdw blurRad="57150" dist="19050" dir="5400000" algn="ctr" rotWithShape="0">
              <a:srgbClr val="000000">
                <a:alpha val="63000"/>
              </a:srgbClr>
            </a:outerShdw>
          </a:effectLst>
        </c:spPr>
      </c:pivotFmt>
      <c:pivotFmt>
        <c:idx val="16"/>
        <c:spPr>
          <a:solidFill>
            <a:srgbClr val="D85A30"/>
          </a:solidFill>
          <a:ln>
            <a:noFill/>
          </a:ln>
          <a:effectLst>
            <a:outerShdw blurRad="57150" dist="19050" dir="5400000" algn="ctr" rotWithShape="0">
              <a:srgbClr val="000000">
                <a:alpha val="63000"/>
              </a:srgbClr>
            </a:outerShdw>
          </a:effectLst>
        </c:spPr>
      </c:pivotFmt>
      <c:pivotFmt>
        <c:idx val="17"/>
        <c:spPr>
          <a:solidFill>
            <a:srgbClr val="D85A30"/>
          </a:solidFill>
          <a:ln>
            <a:noFill/>
          </a:ln>
          <a:effectLst>
            <a:outerShdw blurRad="57150" dist="19050" dir="5400000" algn="ctr" rotWithShape="0">
              <a:srgbClr val="000000">
                <a:alpha val="63000"/>
              </a:srgbClr>
            </a:outerShdw>
          </a:effectLst>
        </c:spPr>
      </c:pivotFmt>
      <c:pivotFmt>
        <c:idx val="18"/>
        <c:spPr>
          <a:solidFill>
            <a:srgbClr val="D85A30"/>
          </a:solidFill>
          <a:ln>
            <a:noFill/>
          </a:ln>
          <a:effectLst>
            <a:outerShdw blurRad="57150" dist="19050" dir="5400000" algn="ctr" rotWithShape="0">
              <a:srgbClr val="000000">
                <a:alpha val="63000"/>
              </a:srgbClr>
            </a:outerShdw>
          </a:effectLst>
        </c:spPr>
      </c:pivotFmt>
      <c:pivotFmt>
        <c:idx val="19"/>
        <c:spPr>
          <a:solidFill>
            <a:srgbClr val="D85A3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D85A30"/>
          </a:solidFill>
          <a:ln>
            <a:noFill/>
          </a:ln>
          <a:effectLst>
            <a:outerShdw blurRad="57150" dist="19050" dir="5400000" algn="ctr" rotWithShape="0">
              <a:srgbClr val="000000">
                <a:alpha val="63000"/>
              </a:srgbClr>
            </a:outerShdw>
          </a:effectLst>
        </c:spPr>
      </c:pivotFmt>
      <c:pivotFmt>
        <c:idx val="21"/>
        <c:spPr>
          <a:solidFill>
            <a:srgbClr val="D85A30"/>
          </a:solidFill>
          <a:ln>
            <a:noFill/>
          </a:ln>
          <a:effectLst>
            <a:outerShdw blurRad="57150" dist="19050" dir="5400000" algn="ctr" rotWithShape="0">
              <a:srgbClr val="000000">
                <a:alpha val="63000"/>
              </a:srgbClr>
            </a:outerShdw>
          </a:effectLst>
        </c:spPr>
      </c:pivotFmt>
      <c:pivotFmt>
        <c:idx val="22"/>
        <c:spPr>
          <a:solidFill>
            <a:srgbClr val="D85A30"/>
          </a:solidFill>
          <a:ln>
            <a:noFill/>
          </a:ln>
          <a:effectLst>
            <a:outerShdw blurRad="57150" dist="19050" dir="5400000" algn="ctr" rotWithShape="0">
              <a:srgbClr val="000000">
                <a:alpha val="63000"/>
              </a:srgbClr>
            </a:outerShdw>
          </a:effectLst>
        </c:spPr>
      </c:pivotFmt>
      <c:pivotFmt>
        <c:idx val="23"/>
        <c:spPr>
          <a:solidFill>
            <a:srgbClr val="D85A30"/>
          </a:solidFill>
          <a:ln>
            <a:noFill/>
          </a:ln>
          <a:effectLst>
            <a:outerShdw blurRad="57150" dist="19050" dir="5400000" algn="ctr" rotWithShape="0">
              <a:srgbClr val="000000">
                <a:alpha val="63000"/>
              </a:srgbClr>
            </a:outerShdw>
          </a:effectLst>
        </c:spPr>
      </c:pivotFmt>
      <c:pivotFmt>
        <c:idx val="24"/>
        <c:spPr>
          <a:solidFill>
            <a:srgbClr val="D85A30"/>
          </a:solidFill>
          <a:ln>
            <a:noFill/>
          </a:ln>
          <a:effectLst>
            <a:outerShdw blurRad="57150" dist="19050" dir="5400000" algn="ctr" rotWithShape="0">
              <a:srgbClr val="000000">
                <a:alpha val="63000"/>
              </a:srgbClr>
            </a:outerShdw>
          </a:effectLst>
        </c:spPr>
      </c:pivotFmt>
      <c:pivotFmt>
        <c:idx val="25"/>
        <c:spPr>
          <a:solidFill>
            <a:srgbClr val="D85A3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D85A30"/>
          </a:solidFill>
          <a:ln>
            <a:noFill/>
          </a:ln>
          <a:effectLst>
            <a:outerShdw blurRad="57150" dist="19050" dir="5400000" algn="ctr" rotWithShape="0">
              <a:srgbClr val="000000">
                <a:alpha val="63000"/>
              </a:srgbClr>
            </a:outerShdw>
          </a:effectLst>
        </c:spPr>
      </c:pivotFmt>
      <c:pivotFmt>
        <c:idx val="27"/>
        <c:spPr>
          <a:solidFill>
            <a:srgbClr val="D85A30"/>
          </a:solidFill>
          <a:ln>
            <a:noFill/>
          </a:ln>
          <a:effectLst>
            <a:outerShdw blurRad="57150" dist="19050" dir="5400000" algn="ctr" rotWithShape="0">
              <a:srgbClr val="000000">
                <a:alpha val="63000"/>
              </a:srgbClr>
            </a:outerShdw>
          </a:effectLst>
        </c:spPr>
      </c:pivotFmt>
      <c:pivotFmt>
        <c:idx val="28"/>
        <c:spPr>
          <a:solidFill>
            <a:srgbClr val="D85A30"/>
          </a:solidFill>
          <a:ln>
            <a:noFill/>
          </a:ln>
          <a:effectLst>
            <a:outerShdw blurRad="57150" dist="19050" dir="5400000" algn="ctr" rotWithShape="0">
              <a:srgbClr val="000000">
                <a:alpha val="63000"/>
              </a:srgbClr>
            </a:outerShdw>
          </a:effectLst>
        </c:spPr>
      </c:pivotFmt>
      <c:pivotFmt>
        <c:idx val="29"/>
        <c:spPr>
          <a:solidFill>
            <a:srgbClr val="D85A30"/>
          </a:solidFill>
          <a:ln>
            <a:noFill/>
          </a:ln>
          <a:effectLst>
            <a:outerShdw blurRad="57150" dist="19050" dir="5400000" algn="ctr" rotWithShape="0">
              <a:srgbClr val="000000">
                <a:alpha val="63000"/>
              </a:srgbClr>
            </a:outerShdw>
          </a:effectLst>
        </c:spPr>
      </c:pivotFmt>
      <c:pivotFmt>
        <c:idx val="30"/>
        <c:spPr>
          <a:solidFill>
            <a:srgbClr val="D85A3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446981627296588"/>
          <c:y val="0.15988444152814232"/>
          <c:w val="0.86497462817147852"/>
          <c:h val="0.70993839311752693"/>
        </c:manualLayout>
      </c:layout>
      <c:barChart>
        <c:barDir val="col"/>
        <c:grouping val="clustered"/>
        <c:varyColors val="0"/>
        <c:ser>
          <c:idx val="0"/>
          <c:order val="0"/>
          <c:tx>
            <c:strRef>
              <c:f>KPi!$C$2</c:f>
              <c:strCache>
                <c:ptCount val="1"/>
                <c:pt idx="0">
                  <c:v>Total</c:v>
                </c:pt>
              </c:strCache>
            </c:strRef>
          </c:tx>
          <c:spPr>
            <a:solidFill>
              <a:srgbClr val="D85A3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D85A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3B5-4E0C-A627-6B5738D98B01}"/>
              </c:ext>
            </c:extLst>
          </c:dPt>
          <c:dPt>
            <c:idx val="1"/>
            <c:invertIfNegative val="0"/>
            <c:bubble3D val="0"/>
            <c:spPr>
              <a:solidFill>
                <a:srgbClr val="D85A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B5-4E0C-A627-6B5738D98B01}"/>
              </c:ext>
            </c:extLst>
          </c:dPt>
          <c:dPt>
            <c:idx val="2"/>
            <c:invertIfNegative val="0"/>
            <c:bubble3D val="0"/>
            <c:spPr>
              <a:solidFill>
                <a:srgbClr val="D85A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3B5-4E0C-A627-6B5738D98B01}"/>
              </c:ext>
            </c:extLst>
          </c:dPt>
          <c:dPt>
            <c:idx val="3"/>
            <c:invertIfNegative val="0"/>
            <c:bubble3D val="0"/>
            <c:spPr>
              <a:solidFill>
                <a:srgbClr val="D85A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3B5-4E0C-A627-6B5738D98B01}"/>
              </c:ext>
            </c:extLst>
          </c:dPt>
          <c:dPt>
            <c:idx val="4"/>
            <c:invertIfNegative val="0"/>
            <c:bubble3D val="0"/>
            <c:spPr>
              <a:solidFill>
                <a:srgbClr val="D85A3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3B5-4E0C-A627-6B5738D98B0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KPi!$B$3:$B$8</c:f>
              <c:strCache>
                <c:ptCount val="5"/>
                <c:pt idx="0">
                  <c:v>Jan</c:v>
                </c:pt>
                <c:pt idx="1">
                  <c:v>Feb</c:v>
                </c:pt>
                <c:pt idx="2">
                  <c:v>Mar</c:v>
                </c:pt>
                <c:pt idx="3">
                  <c:v>Apr</c:v>
                </c:pt>
                <c:pt idx="4">
                  <c:v>May</c:v>
                </c:pt>
              </c:strCache>
            </c:strRef>
          </c:cat>
          <c:val>
            <c:numRef>
              <c:f>KPi!$C$3:$C$8</c:f>
              <c:numCache>
                <c:formatCode>General</c:formatCode>
                <c:ptCount val="5"/>
                <c:pt idx="0">
                  <c:v>29000</c:v>
                </c:pt>
                <c:pt idx="1">
                  <c:v>28500</c:v>
                </c:pt>
                <c:pt idx="2">
                  <c:v>24500</c:v>
                </c:pt>
                <c:pt idx="3">
                  <c:v>33900</c:v>
                </c:pt>
                <c:pt idx="4">
                  <c:v>27600</c:v>
                </c:pt>
              </c:numCache>
            </c:numRef>
          </c:val>
          <c:extLst>
            <c:ext xmlns:c16="http://schemas.microsoft.com/office/drawing/2014/chart" uri="{C3380CC4-5D6E-409C-BE32-E72D297353CC}">
              <c16:uniqueId val="{0000000A-43B5-4E0C-A627-6B5738D98B01}"/>
            </c:ext>
          </c:extLst>
        </c:ser>
        <c:dLbls>
          <c:dLblPos val="outEnd"/>
          <c:showLegendKey val="0"/>
          <c:showVal val="1"/>
          <c:showCatName val="0"/>
          <c:showSerName val="0"/>
          <c:showPercent val="0"/>
          <c:showBubbleSize val="0"/>
        </c:dLbls>
        <c:gapWidth val="100"/>
        <c:overlap val="-24"/>
        <c:axId val="485479376"/>
        <c:axId val="485480336"/>
      </c:barChart>
      <c:catAx>
        <c:axId val="485479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85480336"/>
        <c:crosses val="autoZero"/>
        <c:auto val="1"/>
        <c:lblAlgn val="ctr"/>
        <c:lblOffset val="100"/>
        <c:noMultiLvlLbl val="0"/>
      </c:catAx>
      <c:valAx>
        <c:axId val="485480336"/>
        <c:scaling>
          <c:orientation val="minMax"/>
        </c:scaling>
        <c:delete val="1"/>
        <c:axPos val="l"/>
        <c:numFmt formatCode="General" sourceLinked="1"/>
        <c:majorTickMark val="none"/>
        <c:minorTickMark val="none"/>
        <c:tickLblPos val="nextTo"/>
        <c:crossAx val="48547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company dash.xlsx]KPi!PivotTable11</c:name>
    <c:fmtId val="21"/>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5A3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687128287652005"/>
          <c:y val="2.7974112565332585E-2"/>
          <c:w val="0.61433156763176033"/>
          <c:h val="0.89742825392711389"/>
        </c:manualLayout>
      </c:layout>
      <c:bar3DChart>
        <c:barDir val="bar"/>
        <c:grouping val="stacked"/>
        <c:varyColors val="0"/>
        <c:ser>
          <c:idx val="0"/>
          <c:order val="0"/>
          <c:tx>
            <c:strRef>
              <c:f>KPi!$R$69</c:f>
              <c:strCache>
                <c:ptCount val="1"/>
                <c:pt idx="0">
                  <c:v>Total Profit</c:v>
                </c:pt>
              </c:strCache>
            </c:strRef>
          </c:tx>
          <c:spPr>
            <a:solidFill>
              <a:srgbClr val="D85A3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KPi!$Q$70:$Q$80</c:f>
              <c:strCache>
                <c:ptCount val="10"/>
                <c:pt idx="0">
                  <c:v>CardioCare</c:v>
                </c:pt>
                <c:pt idx="1">
                  <c:v>Dermacare</c:v>
                </c:pt>
                <c:pt idx="2">
                  <c:v>GlucoBalance</c:v>
                </c:pt>
                <c:pt idx="3">
                  <c:v>HepaGuard</c:v>
                </c:pt>
                <c:pt idx="4">
                  <c:v>ImmunoBoost</c:v>
                </c:pt>
                <c:pt idx="5">
                  <c:v>NeuroMax</c:v>
                </c:pt>
                <c:pt idx="6">
                  <c:v>OsteoFlex</c:v>
                </c:pt>
                <c:pt idx="7">
                  <c:v>PainRelief Plus</c:v>
                </c:pt>
                <c:pt idx="8">
                  <c:v>RespiraAid</c:v>
                </c:pt>
                <c:pt idx="9">
                  <c:v>VisionPro</c:v>
                </c:pt>
              </c:strCache>
            </c:strRef>
          </c:cat>
          <c:val>
            <c:numRef>
              <c:f>KPi!$R$70:$R$80</c:f>
              <c:numCache>
                <c:formatCode>General</c:formatCode>
                <c:ptCount val="10"/>
                <c:pt idx="0">
                  <c:v>16000</c:v>
                </c:pt>
                <c:pt idx="1">
                  <c:v>12000</c:v>
                </c:pt>
                <c:pt idx="2">
                  <c:v>17300</c:v>
                </c:pt>
                <c:pt idx="3">
                  <c:v>18500</c:v>
                </c:pt>
                <c:pt idx="4">
                  <c:v>12400</c:v>
                </c:pt>
                <c:pt idx="5">
                  <c:v>21500</c:v>
                </c:pt>
                <c:pt idx="6">
                  <c:v>15300</c:v>
                </c:pt>
                <c:pt idx="7">
                  <c:v>8000</c:v>
                </c:pt>
                <c:pt idx="8">
                  <c:v>12500</c:v>
                </c:pt>
                <c:pt idx="9">
                  <c:v>10000</c:v>
                </c:pt>
              </c:numCache>
            </c:numRef>
          </c:val>
          <c:extLst>
            <c:ext xmlns:c16="http://schemas.microsoft.com/office/drawing/2014/chart" uri="{C3380CC4-5D6E-409C-BE32-E72D297353CC}">
              <c16:uniqueId val="{00000000-DA5E-4392-BF01-FFDF395E056E}"/>
            </c:ext>
          </c:extLst>
        </c:ser>
        <c:ser>
          <c:idx val="1"/>
          <c:order val="1"/>
          <c:tx>
            <c:strRef>
              <c:f>KPi!$S$69</c:f>
              <c:strCache>
                <c:ptCount val="1"/>
                <c:pt idx="0">
                  <c:v>Profit by %</c:v>
                </c:pt>
              </c:strCache>
            </c:strRef>
          </c:tx>
          <c:spPr>
            <a:solidFill>
              <a:schemeClr val="accent2"/>
            </a:solidFill>
            <a:ln>
              <a:noFill/>
            </a:ln>
            <a:effectLst/>
            <a:sp3d/>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KPi!$Q$70:$Q$80</c:f>
              <c:strCache>
                <c:ptCount val="10"/>
                <c:pt idx="0">
                  <c:v>CardioCare</c:v>
                </c:pt>
                <c:pt idx="1">
                  <c:v>Dermacare</c:v>
                </c:pt>
                <c:pt idx="2">
                  <c:v>GlucoBalance</c:v>
                </c:pt>
                <c:pt idx="3">
                  <c:v>HepaGuard</c:v>
                </c:pt>
                <c:pt idx="4">
                  <c:v>ImmunoBoost</c:v>
                </c:pt>
                <c:pt idx="5">
                  <c:v>NeuroMax</c:v>
                </c:pt>
                <c:pt idx="6">
                  <c:v>OsteoFlex</c:v>
                </c:pt>
                <c:pt idx="7">
                  <c:v>PainRelief Plus</c:v>
                </c:pt>
                <c:pt idx="8">
                  <c:v>RespiraAid</c:v>
                </c:pt>
                <c:pt idx="9">
                  <c:v>VisionPro</c:v>
                </c:pt>
              </c:strCache>
            </c:strRef>
          </c:cat>
          <c:val>
            <c:numRef>
              <c:f>KPi!$S$70:$S$80</c:f>
              <c:numCache>
                <c:formatCode>0.00%</c:formatCode>
                <c:ptCount val="10"/>
                <c:pt idx="0">
                  <c:v>0.11149825783972125</c:v>
                </c:pt>
                <c:pt idx="1">
                  <c:v>8.3623693379790948E-2</c:v>
                </c:pt>
                <c:pt idx="2">
                  <c:v>0.12055749128919861</c:v>
                </c:pt>
                <c:pt idx="3">
                  <c:v>0.1289198606271777</c:v>
                </c:pt>
                <c:pt idx="4">
                  <c:v>8.6411149825783976E-2</c:v>
                </c:pt>
                <c:pt idx="5">
                  <c:v>0.14982578397212543</c:v>
                </c:pt>
                <c:pt idx="6">
                  <c:v>0.10662020905923345</c:v>
                </c:pt>
                <c:pt idx="7">
                  <c:v>5.5749128919860627E-2</c:v>
                </c:pt>
                <c:pt idx="8">
                  <c:v>8.7108013937282236E-2</c:v>
                </c:pt>
                <c:pt idx="9">
                  <c:v>6.968641114982578E-2</c:v>
                </c:pt>
              </c:numCache>
            </c:numRef>
          </c:val>
          <c:extLst>
            <c:ext xmlns:c16="http://schemas.microsoft.com/office/drawing/2014/chart" uri="{C3380CC4-5D6E-409C-BE32-E72D297353CC}">
              <c16:uniqueId val="{00000001-DA5E-4392-BF01-FFDF395E056E}"/>
            </c:ext>
          </c:extLst>
        </c:ser>
        <c:dLbls>
          <c:showLegendKey val="0"/>
          <c:showVal val="1"/>
          <c:showCatName val="0"/>
          <c:showSerName val="0"/>
          <c:showPercent val="0"/>
          <c:showBubbleSize val="0"/>
        </c:dLbls>
        <c:gapWidth val="150"/>
        <c:shape val="box"/>
        <c:axId val="784996495"/>
        <c:axId val="784992175"/>
        <c:axId val="0"/>
      </c:bar3DChart>
      <c:catAx>
        <c:axId val="78499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84992175"/>
        <c:crosses val="autoZero"/>
        <c:auto val="1"/>
        <c:lblAlgn val="ctr"/>
        <c:lblOffset val="100"/>
        <c:noMultiLvlLbl val="0"/>
      </c:catAx>
      <c:valAx>
        <c:axId val="784992175"/>
        <c:scaling>
          <c:orientation val="minMax"/>
        </c:scaling>
        <c:delete val="1"/>
        <c:axPos val="b"/>
        <c:numFmt formatCode="General" sourceLinked="1"/>
        <c:majorTickMark val="none"/>
        <c:minorTickMark val="none"/>
        <c:tickLblPos val="nextTo"/>
        <c:crossAx val="78499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7F00860-6A3A-47F0-B6FD-DC7B35EC1D5D}">
          <cx:tx>
            <cx:txData>
              <cx:f>_xlchart.v2.1</cx:f>
              <cx:v>Sum of Profit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sunburst" uniqueId="{3EE67DDE-7EE0-4C28-B79A-2D88ABF331C1}">
          <cx:tx>
            <cx:txData>
              <cx:f>_xlchart.v1.4</cx:f>
              <cx:v>Sum of Profit ($)</cx:v>
            </cx:txData>
          </cx:tx>
          <cx:dataLabels pos="ctr">
            <cx:visibility seriesName="0" categoryName="1" value="0"/>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title pos="t" align="ctr" overlay="0">
      <cx:tx>
        <cx:txData>
          <cx:v>Profit</cx:v>
        </cx:txData>
      </cx:tx>
      <cx:txPr>
        <a:bodyPr spcFirstLastPara="1" vertOverflow="ellipsis" horzOverflow="overflow" wrap="square" lIns="0" tIns="0" rIns="0" bIns="0" anchor="ctr" anchorCtr="1"/>
        <a:lstStyle/>
        <a:p>
          <a:pPr algn="ctr" rtl="0">
            <a:defRPr/>
          </a:pPr>
          <a:r>
            <a:rPr lang="en-US" sz="1400" b="1" i="0" u="none" strike="noStrike" baseline="0">
              <a:solidFill>
                <a:srgbClr val="712B13"/>
              </a:solidFill>
              <a:latin typeface="Aptos Narrow" panose="02110004020202020204"/>
            </a:rPr>
            <a:t>Profit</a:t>
          </a:r>
        </a:p>
      </cx:txPr>
    </cx:title>
    <cx:plotArea>
      <cx:plotAreaRegion>
        <cx:series layoutId="funnel" uniqueId="{07F00860-6A3A-47F0-B6FD-DC7B35EC1D5D}">
          <cx:tx>
            <cx:txData>
              <cx:f>_xlchart.v2.13</cx:f>
              <cx:v>Sum of Profit ($)</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ysClr val="windowText" lastClr="000000"/>
                </a:solidFill>
              </a:defRPr>
            </a:pPr>
            <a:endParaRPr lang="en-US" sz="1100" b="1" i="0" u="none" strike="noStrike" baseline="0">
              <a:solidFill>
                <a:sysClr val="windowText" lastClr="000000"/>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plotArea>
      <cx:plotAreaRegion>
        <cx:plotSurface>
          <cx:spPr>
            <a:noFill/>
            <a:effectLst>
              <a:outerShdw blurRad="50800" dist="38100" dir="5400000" algn="t" rotWithShape="0">
                <a:prstClr val="black">
                  <a:alpha val="40000"/>
                </a:prstClr>
              </a:outerShdw>
            </a:effectLst>
          </cx:spPr>
        </cx:plotSurface>
        <cx:series layoutId="sunburst" uniqueId="{3EE67DDE-7EE0-4C28-B79A-2D88ABF331C1}">
          <cx:tx>
            <cx:txData>
              <cx:f>_xlchart.v1.19</cx:f>
              <cx:v>Sum of Profit ($)</cx:v>
            </cx:txData>
          </cx:tx>
          <cx:spPr>
            <a:ln>
              <a:noFill/>
            </a:ln>
            <a:effectLst>
              <a:outerShdw blurRad="50800" dist="38100" dir="5400000" algn="t" rotWithShape="0">
                <a:prstClr val="black">
                  <a:alpha val="40000"/>
                </a:prstClr>
              </a:outerShdw>
            </a:effectLst>
          </cx:spPr>
          <cx:dataLabels pos="ctr">
            <cx:visibility seriesName="0" categoryName="1" value="0"/>
          </cx:dataLabels>
          <cx:dataId val="0"/>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_xlchart.v2.17</cx:f>
      </cx:numDim>
    </cx:data>
  </cx:chartData>
  <cx:chart>
    <cx:title pos="t" align="ctr" overlay="0">
      <cx:tx>
        <cx:txData>
          <cx:v>Location VS Profit</cx:v>
        </cx:txData>
      </cx:tx>
      <cx:txPr>
        <a:bodyPr spcFirstLastPara="1" vertOverflow="ellipsis" horzOverflow="overflow" wrap="square" lIns="0" tIns="0" rIns="0" bIns="0" anchor="ctr" anchorCtr="1"/>
        <a:lstStyle/>
        <a:p>
          <a:pPr algn="ctr" rtl="0">
            <a:defRPr/>
          </a:pPr>
          <a:r>
            <a:rPr lang="en-US" sz="1400" b="1" i="0" u="none" strike="noStrike" baseline="0">
              <a:solidFill>
                <a:srgbClr val="712B13"/>
              </a:solidFill>
              <a:latin typeface="Aptos Narrow" panose="02110004020202020204"/>
            </a:rPr>
            <a:t>Location VS Profit</a:t>
          </a:r>
        </a:p>
      </cx:txPr>
    </cx:title>
    <cx:plotArea>
      <cx:plotAreaRegion>
        <cx:series layoutId="funnel" uniqueId="{07F00860-6A3A-47F0-B6FD-DC7B35EC1D5D}">
          <cx:tx>
            <cx:txData>
              <cx:f>_xlchart.v2.16</cx:f>
              <cx:v>Sum of Profit ($)</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ysClr val="windowText" lastClr="000000"/>
                </a:solidFill>
              </a:defRPr>
            </a:pPr>
            <a:endParaRPr lang="en-US" sz="1100" b="1" i="0" u="none" strike="noStrike" baseline="0">
              <a:solidFill>
                <a:sysClr val="windowText" lastClr="000000"/>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hyperlink" Target="#KPi!A1"/><Relationship Id="rId10" Type="http://schemas.openxmlformats.org/officeDocument/2006/relationships/chart" Target="../charts/chart6.xml"/><Relationship Id="rId4" Type="http://schemas.openxmlformats.org/officeDocument/2006/relationships/hyperlink" Target="#'raw data'!A1"/><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hyperlink" Target="#Profit!A1"/><Relationship Id="rId3" Type="http://schemas.microsoft.com/office/2007/relationships/hdphoto" Target="../media/hdphoto1.wdp"/><Relationship Id="rId7" Type="http://schemas.openxmlformats.org/officeDocument/2006/relationships/chart" Target="../charts/chart9.xml"/><Relationship Id="rId12" Type="http://schemas.openxmlformats.org/officeDocument/2006/relationships/hyperlink" Target="#KPi!A1"/><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8.xml"/><Relationship Id="rId11" Type="http://schemas.openxmlformats.org/officeDocument/2006/relationships/hyperlink" Target="#'raw data'!A1"/><Relationship Id="rId5" Type="http://schemas.openxmlformats.org/officeDocument/2006/relationships/chart" Target="../charts/chart7.xml"/><Relationship Id="rId10" Type="http://schemas.openxmlformats.org/officeDocument/2006/relationships/hyperlink" Target="#'Dashboard (2)'!A1"/><Relationship Id="rId4" Type="http://schemas.openxmlformats.org/officeDocument/2006/relationships/hyperlink" Target="#Region!A1"/><Relationship Id="rId9" Type="http://schemas.microsoft.com/office/2014/relationships/chartEx" Target="../charts/chartEx3.xml"/></Relationships>
</file>

<file path=xl/drawings/_rels/drawing3.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image" Target="../media/image2.png"/><Relationship Id="rId7" Type="http://schemas.openxmlformats.org/officeDocument/2006/relationships/hyperlink" Target="#KPi!A1"/><Relationship Id="rId12" Type="http://schemas.openxmlformats.org/officeDocument/2006/relationships/chart" Target="../charts/chart11.xml"/><Relationship Id="rId2" Type="http://schemas.openxmlformats.org/officeDocument/2006/relationships/hyperlink" Target="#'raw data'!A1"/><Relationship Id="rId1" Type="http://schemas.openxmlformats.org/officeDocument/2006/relationships/image" Target="../media/image1.jpeg"/><Relationship Id="rId6" Type="http://schemas.openxmlformats.org/officeDocument/2006/relationships/hyperlink" Target="#Dashboard!A1"/><Relationship Id="rId11" Type="http://schemas.microsoft.com/office/2014/relationships/chartEx" Target="../charts/chartEx5.xml"/><Relationship Id="rId5" Type="http://schemas.openxmlformats.org/officeDocument/2006/relationships/hyperlink" Target="#Region!A1"/><Relationship Id="rId10" Type="http://schemas.microsoft.com/office/2014/relationships/chartEx" Target="../charts/chartEx4.xml"/><Relationship Id="rId4" Type="http://schemas.microsoft.com/office/2007/relationships/hdphoto" Target="../media/hdphoto1.wdp"/><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228600</xdr:colOff>
      <xdr:row>16</xdr:row>
      <xdr:rowOff>15240</xdr:rowOff>
    </xdr:from>
    <xdr:to>
      <xdr:col>5</xdr:col>
      <xdr:colOff>60960</xdr:colOff>
      <xdr:row>31</xdr:row>
      <xdr:rowOff>15240</xdr:rowOff>
    </xdr:to>
    <xdr:graphicFrame macro="">
      <xdr:nvGraphicFramePr>
        <xdr:cNvPr id="5" name="Chart 4">
          <a:extLst>
            <a:ext uri="{FF2B5EF4-FFF2-40B4-BE49-F238E27FC236}">
              <a16:creationId xmlns:a16="http://schemas.microsoft.com/office/drawing/2014/main" id="{B92E31B8-31C9-D5C3-A0C0-6557F31F9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525780</xdr:colOff>
      <xdr:row>11</xdr:row>
      <xdr:rowOff>68580</xdr:rowOff>
    </xdr:from>
    <xdr:to>
      <xdr:col>14</xdr:col>
      <xdr:colOff>388620</xdr:colOff>
      <xdr:row>26</xdr:row>
      <xdr:rowOff>68580</xdr:rowOff>
    </xdr:to>
    <xdr:graphicFrame macro="">
      <xdr:nvGraphicFramePr>
        <xdr:cNvPr id="6" name="Chart 5">
          <a:extLst>
            <a:ext uri="{FF2B5EF4-FFF2-40B4-BE49-F238E27FC236}">
              <a16:creationId xmlns:a16="http://schemas.microsoft.com/office/drawing/2014/main" id="{2D561A70-20D0-2749-F8DD-ECCFDE068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91440</xdr:colOff>
      <xdr:row>15</xdr:row>
      <xdr:rowOff>167640</xdr:rowOff>
    </xdr:from>
    <xdr:to>
      <xdr:col>9</xdr:col>
      <xdr:colOff>464820</xdr:colOff>
      <xdr:row>29</xdr:row>
      <xdr:rowOff>76200</xdr:rowOff>
    </xdr:to>
    <xdr:graphicFrame macro="">
      <xdr:nvGraphicFramePr>
        <xdr:cNvPr id="7" name="Chart 6">
          <a:extLst>
            <a:ext uri="{FF2B5EF4-FFF2-40B4-BE49-F238E27FC236}">
              <a16:creationId xmlns:a16="http://schemas.microsoft.com/office/drawing/2014/main" id="{F3CF5FBE-F24C-0B1A-DB53-1EF87CDC8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35</xdr:row>
      <xdr:rowOff>33633</xdr:rowOff>
    </xdr:from>
    <xdr:to>
      <xdr:col>13</xdr:col>
      <xdr:colOff>50078</xdr:colOff>
      <xdr:row>44</xdr:row>
      <xdr:rowOff>721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666598E-AF1D-47B1-852C-93F41CF262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82945" y="6337451"/>
              <a:ext cx="1258700" cy="1588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984250</xdr:colOff>
      <xdr:row>33</xdr:row>
      <xdr:rowOff>109306</xdr:rowOff>
    </xdr:from>
    <xdr:to>
      <xdr:col>14</xdr:col>
      <xdr:colOff>988933</xdr:colOff>
      <xdr:row>43</xdr:row>
      <xdr:rowOff>143858</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993176D7-5C14-4D24-A915-D2026B3488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989810" y="6144346"/>
              <a:ext cx="1254363" cy="18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359921</xdr:colOff>
      <xdr:row>31</xdr:row>
      <xdr:rowOff>0</xdr:rowOff>
    </xdr:from>
    <xdr:to>
      <xdr:col>20</xdr:col>
      <xdr:colOff>295078</xdr:colOff>
      <xdr:row>34</xdr:row>
      <xdr:rowOff>110950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A35DBBD-9316-423B-AAA6-455488CD13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735994" y="5583382"/>
              <a:ext cx="2291909" cy="651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134869</xdr:colOff>
      <xdr:row>43</xdr:row>
      <xdr:rowOff>0</xdr:rowOff>
    </xdr:from>
    <xdr:to>
      <xdr:col>5</xdr:col>
      <xdr:colOff>1119602</xdr:colOff>
      <xdr:row>46</xdr:row>
      <xdr:rowOff>168022</xdr:rowOff>
    </xdr:to>
    <xdr:sp macro="" textlink="">
      <xdr:nvSpPr>
        <xdr:cNvPr id="9" name="Rectangle: Diagonal Corners Rounded 8">
          <a:hlinkClick xmlns:r="http://schemas.openxmlformats.org/officeDocument/2006/relationships" r:id="rId4"/>
          <a:extLst>
            <a:ext uri="{FF2B5EF4-FFF2-40B4-BE49-F238E27FC236}">
              <a16:creationId xmlns:a16="http://schemas.microsoft.com/office/drawing/2014/main" id="{699662A6-2768-462C-BD3A-3FF62F63B800}"/>
            </a:ext>
          </a:extLst>
        </xdr:cNvPr>
        <xdr:cNvSpPr/>
      </xdr:nvSpPr>
      <xdr:spPr>
        <a:xfrm>
          <a:off x="4166542" y="7744691"/>
          <a:ext cx="2162369" cy="708349"/>
        </a:xfrm>
        <a:prstGeom prst="round2Diag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800"/>
            <a:t>raw</a:t>
          </a:r>
          <a:r>
            <a:rPr lang="en-IN" sz="2800" baseline="0"/>
            <a:t> data</a:t>
          </a:r>
          <a:endParaRPr lang="en-IN" sz="2800"/>
        </a:p>
      </xdr:txBody>
    </xdr:sp>
    <xdr:clientData/>
  </xdr:twoCellAnchor>
  <xdr:twoCellAnchor>
    <xdr:from>
      <xdr:col>2</xdr:col>
      <xdr:colOff>0</xdr:colOff>
      <xdr:row>43</xdr:row>
      <xdr:rowOff>0</xdr:rowOff>
    </xdr:from>
    <xdr:to>
      <xdr:col>3</xdr:col>
      <xdr:colOff>970878</xdr:colOff>
      <xdr:row>46</xdr:row>
      <xdr:rowOff>168022</xdr:rowOff>
    </xdr:to>
    <xdr:sp macro="" textlink="">
      <xdr:nvSpPr>
        <xdr:cNvPr id="10" name="Rectangle: Diagonal Corners Rounded 9">
          <a:hlinkClick xmlns:r="http://schemas.openxmlformats.org/officeDocument/2006/relationships" r:id="rId5"/>
          <a:extLst>
            <a:ext uri="{FF2B5EF4-FFF2-40B4-BE49-F238E27FC236}">
              <a16:creationId xmlns:a16="http://schemas.microsoft.com/office/drawing/2014/main" id="{77B7999E-ED7E-46E5-82E6-3B3A2FA9E432}"/>
            </a:ext>
          </a:extLst>
        </xdr:cNvPr>
        <xdr:cNvSpPr/>
      </xdr:nvSpPr>
      <xdr:spPr>
        <a:xfrm>
          <a:off x="1787236" y="7744691"/>
          <a:ext cx="2162369" cy="708349"/>
        </a:xfrm>
        <a:prstGeom prst="round2Diag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800"/>
            <a:t>KPI</a:t>
          </a:r>
        </a:p>
      </xdr:txBody>
    </xdr:sp>
    <xdr:clientData/>
  </xdr:twoCellAnchor>
  <xdr:twoCellAnchor>
    <xdr:from>
      <xdr:col>18</xdr:col>
      <xdr:colOff>25998</xdr:colOff>
      <xdr:row>42</xdr:row>
      <xdr:rowOff>0</xdr:rowOff>
    </xdr:from>
    <xdr:to>
      <xdr:col>21</xdr:col>
      <xdr:colOff>211678</xdr:colOff>
      <xdr:row>45</xdr:row>
      <xdr:rowOff>99442</xdr:rowOff>
    </xdr:to>
    <xdr:sp macro="" textlink="">
      <xdr:nvSpPr>
        <xdr:cNvPr id="11" name="Rectangle: Rounded Corners 10">
          <a:extLst>
            <a:ext uri="{FF2B5EF4-FFF2-40B4-BE49-F238E27FC236}">
              <a16:creationId xmlns:a16="http://schemas.microsoft.com/office/drawing/2014/main" id="{D7026872-DD15-4F62-ABFD-29342A21CAFC}"/>
            </a:ext>
          </a:extLst>
        </xdr:cNvPr>
        <xdr:cNvSpPr/>
      </xdr:nvSpPr>
      <xdr:spPr>
        <a:xfrm>
          <a:off x="17011671" y="7564582"/>
          <a:ext cx="2014480" cy="639769"/>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a:t>total unit</a:t>
          </a:r>
          <a:r>
            <a:rPr lang="en-IN" sz="1800" baseline="0"/>
            <a:t> sold</a:t>
          </a:r>
          <a:endParaRPr lang="en-IN" sz="1800"/>
        </a:p>
      </xdr:txBody>
    </xdr:sp>
    <xdr:clientData/>
  </xdr:twoCellAnchor>
  <xdr:twoCellAnchor>
    <xdr:from>
      <xdr:col>15</xdr:col>
      <xdr:colOff>0</xdr:colOff>
      <xdr:row>42</xdr:row>
      <xdr:rowOff>15240</xdr:rowOff>
    </xdr:from>
    <xdr:to>
      <xdr:col>17</xdr:col>
      <xdr:colOff>521298</xdr:colOff>
      <xdr:row>45</xdr:row>
      <xdr:rowOff>114682</xdr:rowOff>
    </xdr:to>
    <xdr:sp macro="" textlink="">
      <xdr:nvSpPr>
        <xdr:cNvPr id="12" name="Rectangle: Rounded Corners 11">
          <a:extLst>
            <a:ext uri="{FF2B5EF4-FFF2-40B4-BE49-F238E27FC236}">
              <a16:creationId xmlns:a16="http://schemas.microsoft.com/office/drawing/2014/main" id="{8CA46E8C-BDC9-4C85-8671-70BDB9003521}"/>
            </a:ext>
          </a:extLst>
        </xdr:cNvPr>
        <xdr:cNvSpPr/>
      </xdr:nvSpPr>
      <xdr:spPr>
        <a:xfrm>
          <a:off x="14879782" y="7579822"/>
          <a:ext cx="2017589" cy="639769"/>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a:t>total profit</a:t>
          </a:r>
        </a:p>
      </xdr:txBody>
    </xdr:sp>
    <xdr:clientData/>
  </xdr:twoCellAnchor>
  <xdr:twoCellAnchor>
    <xdr:from>
      <xdr:col>4</xdr:col>
      <xdr:colOff>1046018</xdr:colOff>
      <xdr:row>48</xdr:row>
      <xdr:rowOff>166255</xdr:rowOff>
    </xdr:from>
    <xdr:to>
      <xdr:col>9</xdr:col>
      <xdr:colOff>270164</xdr:colOff>
      <xdr:row>64</xdr:row>
      <xdr:rowOff>27709</xdr:rowOff>
    </xdr:to>
    <xdr:graphicFrame macro="">
      <xdr:nvGraphicFramePr>
        <xdr:cNvPr id="13" name="Chart 12">
          <a:extLst>
            <a:ext uri="{FF2B5EF4-FFF2-40B4-BE49-F238E27FC236}">
              <a16:creationId xmlns:a16="http://schemas.microsoft.com/office/drawing/2014/main" id="{9FC74BFF-0E87-DF44-C90B-C8351C07A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713509</xdr:colOff>
      <xdr:row>49</xdr:row>
      <xdr:rowOff>69273</xdr:rowOff>
    </xdr:from>
    <xdr:to>
      <xdr:col>22</xdr:col>
      <xdr:colOff>173182</xdr:colOff>
      <xdr:row>64</xdr:row>
      <xdr:rowOff>110836</xdr:rowOff>
    </xdr:to>
    <xdr:graphicFrame macro="">
      <xdr:nvGraphicFramePr>
        <xdr:cNvPr id="14" name="Chart 13">
          <a:extLst>
            <a:ext uri="{FF2B5EF4-FFF2-40B4-BE49-F238E27FC236}">
              <a16:creationId xmlns:a16="http://schemas.microsoft.com/office/drawing/2014/main" id="{D0FFD3BE-C935-A395-74FD-B67AD5852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632013</xdr:colOff>
      <xdr:row>11</xdr:row>
      <xdr:rowOff>116541</xdr:rowOff>
    </xdr:from>
    <xdr:to>
      <xdr:col>19</xdr:col>
      <xdr:colOff>156883</xdr:colOff>
      <xdr:row>26</xdr:row>
      <xdr:rowOff>170329</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BB724C8A-D516-F659-BE42-5FDAD96300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734353" y="2128221"/>
              <a:ext cx="4569310" cy="27969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706380</xdr:colOff>
      <xdr:row>72</xdr:row>
      <xdr:rowOff>85655</xdr:rowOff>
    </xdr:from>
    <xdr:to>
      <xdr:col>15</xdr:col>
      <xdr:colOff>422716</xdr:colOff>
      <xdr:row>87</xdr:row>
      <xdr:rowOff>75643</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3DEE55C5-3DDF-2E76-C2D7-936AA0A92C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333110" y="1330107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7189</xdr:colOff>
      <xdr:row>62</xdr:row>
      <xdr:rowOff>23004</xdr:rowOff>
    </xdr:from>
    <xdr:to>
      <xdr:col>26</xdr:col>
      <xdr:colOff>208472</xdr:colOff>
      <xdr:row>76</xdr:row>
      <xdr:rowOff>149525</xdr:rowOff>
    </xdr:to>
    <xdr:graphicFrame macro="">
      <xdr:nvGraphicFramePr>
        <xdr:cNvPr id="16" name="Chart 15">
          <a:extLst>
            <a:ext uri="{FF2B5EF4-FFF2-40B4-BE49-F238E27FC236}">
              <a16:creationId xmlns:a16="http://schemas.microsoft.com/office/drawing/2014/main" id="{A249C5B8-9796-B5D6-CCFE-C479EAAC4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601980</xdr:colOff>
      <xdr:row>36</xdr:row>
      <xdr:rowOff>175260</xdr:rowOff>
    </xdr:to>
    <xdr:pic>
      <xdr:nvPicPr>
        <xdr:cNvPr id="2" name="Picture 1">
          <a:extLst>
            <a:ext uri="{FF2B5EF4-FFF2-40B4-BE49-F238E27FC236}">
              <a16:creationId xmlns:a16="http://schemas.microsoft.com/office/drawing/2014/main" id="{565F07C4-5A97-404B-9A01-E2A5196AADF7}"/>
            </a:ext>
          </a:extLst>
        </xdr:cNvPr>
        <xdr:cNvPicPr>
          <a:picLocks noChangeAspect="1"/>
        </xdr:cNvPicPr>
      </xdr:nvPicPr>
      <xdr:blipFill>
        <a:blip xmlns:r="http://schemas.openxmlformats.org/officeDocument/2006/relationships" r:embed="rId1"/>
        <a:stretch>
          <a:fillRect/>
        </a:stretch>
      </xdr:blipFill>
      <xdr:spPr>
        <a:xfrm>
          <a:off x="0" y="0"/>
          <a:ext cx="14622780" cy="6758940"/>
        </a:xfrm>
        <a:prstGeom prst="rect">
          <a:avLst/>
        </a:prstGeom>
        <a:solidFill>
          <a:srgbClr val="F0997B"/>
        </a:solidFill>
        <a:ln>
          <a:noFill/>
        </a:ln>
        <a:effectLst>
          <a:innerShdw blurRad="63500" dist="50800" dir="5400000">
            <a:prstClr val="black">
              <a:alpha val="50000"/>
            </a:prstClr>
          </a:innerShdw>
        </a:effectLst>
      </xdr:spPr>
    </xdr:pic>
    <xdr:clientData/>
  </xdr:twoCellAnchor>
  <xdr:twoCellAnchor>
    <xdr:from>
      <xdr:col>0</xdr:col>
      <xdr:colOff>320040</xdr:colOff>
      <xdr:row>0</xdr:row>
      <xdr:rowOff>60960</xdr:rowOff>
    </xdr:from>
    <xdr:to>
      <xdr:col>22</xdr:col>
      <xdr:colOff>533400</xdr:colOff>
      <xdr:row>5</xdr:row>
      <xdr:rowOff>30480</xdr:rowOff>
    </xdr:to>
    <xdr:sp macro="" textlink="">
      <xdr:nvSpPr>
        <xdr:cNvPr id="3" name="Rectangle: Rounded Corners 2">
          <a:extLst>
            <a:ext uri="{FF2B5EF4-FFF2-40B4-BE49-F238E27FC236}">
              <a16:creationId xmlns:a16="http://schemas.microsoft.com/office/drawing/2014/main" id="{AFE61E80-68F7-44B8-AA99-37BCDB74D7DC}"/>
            </a:ext>
          </a:extLst>
        </xdr:cNvPr>
        <xdr:cNvSpPr/>
      </xdr:nvSpPr>
      <xdr:spPr>
        <a:xfrm>
          <a:off x="320040" y="60960"/>
          <a:ext cx="13624560" cy="883920"/>
        </a:xfrm>
        <a:prstGeom prst="roundRect">
          <a:avLst/>
        </a:prstGeom>
        <a:solidFill>
          <a:srgbClr val="993C1D">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373380</xdr:colOff>
      <xdr:row>5</xdr:row>
      <xdr:rowOff>76200</xdr:rowOff>
    </xdr:from>
    <xdr:to>
      <xdr:col>8</xdr:col>
      <xdr:colOff>76200</xdr:colOff>
      <xdr:row>10</xdr:row>
      <xdr:rowOff>38100</xdr:rowOff>
    </xdr:to>
    <xdr:sp macro="" textlink="">
      <xdr:nvSpPr>
        <xdr:cNvPr id="4" name="Rectangle: Rounded Corners 3">
          <a:extLst>
            <a:ext uri="{FF2B5EF4-FFF2-40B4-BE49-F238E27FC236}">
              <a16:creationId xmlns:a16="http://schemas.microsoft.com/office/drawing/2014/main" id="{7A023E7F-0FF6-4C8F-B50E-ED97B2696756}"/>
            </a:ext>
          </a:extLst>
        </xdr:cNvPr>
        <xdr:cNvSpPr/>
      </xdr:nvSpPr>
      <xdr:spPr>
        <a:xfrm>
          <a:off x="2811780" y="990600"/>
          <a:ext cx="2141220" cy="876300"/>
        </a:xfrm>
        <a:prstGeom prst="roundRect">
          <a:avLst/>
        </a:prstGeom>
        <a:solidFill>
          <a:srgbClr val="F0997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457200</xdr:colOff>
      <xdr:row>0</xdr:row>
      <xdr:rowOff>129540</xdr:rowOff>
    </xdr:from>
    <xdr:to>
      <xdr:col>18</xdr:col>
      <xdr:colOff>297180</xdr:colOff>
      <xdr:row>4</xdr:row>
      <xdr:rowOff>22860</xdr:rowOff>
    </xdr:to>
    <xdr:sp macro="" textlink="">
      <xdr:nvSpPr>
        <xdr:cNvPr id="8" name="TextBox 7">
          <a:extLst>
            <a:ext uri="{FF2B5EF4-FFF2-40B4-BE49-F238E27FC236}">
              <a16:creationId xmlns:a16="http://schemas.microsoft.com/office/drawing/2014/main" id="{E2EC7015-4534-44A3-A451-2E98BB3F0D5B}"/>
            </a:ext>
          </a:extLst>
        </xdr:cNvPr>
        <xdr:cNvSpPr txBox="1"/>
      </xdr:nvSpPr>
      <xdr:spPr>
        <a:xfrm>
          <a:off x="4114800" y="129540"/>
          <a:ext cx="715518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Pharma Company Dashboard</a:t>
          </a:r>
        </a:p>
      </xdr:txBody>
    </xdr:sp>
    <xdr:clientData/>
  </xdr:twoCellAnchor>
  <xdr:twoCellAnchor>
    <xdr:from>
      <xdr:col>4</xdr:col>
      <xdr:colOff>556261</xdr:colOff>
      <xdr:row>0</xdr:row>
      <xdr:rowOff>0</xdr:rowOff>
    </xdr:from>
    <xdr:to>
      <xdr:col>6</xdr:col>
      <xdr:colOff>518160</xdr:colOff>
      <xdr:row>5</xdr:row>
      <xdr:rowOff>121920</xdr:rowOff>
    </xdr:to>
    <xdr:grpSp>
      <xdr:nvGrpSpPr>
        <xdr:cNvPr id="9" name="Group 8">
          <a:extLst>
            <a:ext uri="{FF2B5EF4-FFF2-40B4-BE49-F238E27FC236}">
              <a16:creationId xmlns:a16="http://schemas.microsoft.com/office/drawing/2014/main" id="{C705C406-44A6-4882-8965-F818E449EEA5}"/>
            </a:ext>
          </a:extLst>
        </xdr:cNvPr>
        <xdr:cNvGrpSpPr/>
      </xdr:nvGrpSpPr>
      <xdr:grpSpPr>
        <a:xfrm>
          <a:off x="2994661" y="0"/>
          <a:ext cx="1181099" cy="1036320"/>
          <a:chOff x="5074921" y="11871960"/>
          <a:chExt cx="3032759" cy="2651760"/>
        </a:xfrm>
      </xdr:grpSpPr>
      <xdr:sp macro="" textlink="">
        <xdr:nvSpPr>
          <xdr:cNvPr id="10" name="Flowchart: Connector 9">
            <a:extLst>
              <a:ext uri="{FF2B5EF4-FFF2-40B4-BE49-F238E27FC236}">
                <a16:creationId xmlns:a16="http://schemas.microsoft.com/office/drawing/2014/main" id="{C014862B-B0EB-C53F-2AD5-6CFE3EAA5ED3}"/>
              </a:ext>
            </a:extLst>
          </xdr:cNvPr>
          <xdr:cNvSpPr/>
        </xdr:nvSpPr>
        <xdr:spPr>
          <a:xfrm>
            <a:off x="5486400" y="12070080"/>
            <a:ext cx="2278380" cy="2148840"/>
          </a:xfrm>
          <a:prstGeom prst="flowChartConnec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11" name="Picture 10">
            <a:extLst>
              <a:ext uri="{FF2B5EF4-FFF2-40B4-BE49-F238E27FC236}">
                <a16:creationId xmlns:a16="http://schemas.microsoft.com/office/drawing/2014/main" id="{A0BF7316-70F7-75E4-BD62-69C7D92A239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10000" b="90000" l="10000" r="90000"/>
                    </a14:imgEffect>
                  </a14:imgLayer>
                </a14:imgProps>
              </a:ext>
            </a:extLst>
          </a:blip>
          <a:stretch>
            <a:fillRect/>
          </a:stretch>
        </xdr:blipFill>
        <xdr:spPr>
          <a:xfrm>
            <a:off x="5074921" y="11871960"/>
            <a:ext cx="3032759" cy="2651760"/>
          </a:xfrm>
          <a:prstGeom prst="rect">
            <a:avLst/>
          </a:prstGeom>
        </xdr:spPr>
      </xdr:pic>
    </xdr:grpSp>
    <xdr:clientData/>
  </xdr:twoCellAnchor>
  <xdr:twoCellAnchor>
    <xdr:from>
      <xdr:col>0</xdr:col>
      <xdr:colOff>571500</xdr:colOff>
      <xdr:row>5</xdr:row>
      <xdr:rowOff>76200</xdr:rowOff>
    </xdr:from>
    <xdr:to>
      <xdr:col>4</xdr:col>
      <xdr:colOff>274320</xdr:colOff>
      <xdr:row>10</xdr:row>
      <xdr:rowOff>38100</xdr:rowOff>
    </xdr:to>
    <xdr:grpSp>
      <xdr:nvGrpSpPr>
        <xdr:cNvPr id="12" name="Group 11">
          <a:extLst>
            <a:ext uri="{FF2B5EF4-FFF2-40B4-BE49-F238E27FC236}">
              <a16:creationId xmlns:a16="http://schemas.microsoft.com/office/drawing/2014/main" id="{15099EDB-F88C-4673-86C4-F880891FA434}"/>
            </a:ext>
          </a:extLst>
        </xdr:cNvPr>
        <xdr:cNvGrpSpPr/>
      </xdr:nvGrpSpPr>
      <xdr:grpSpPr>
        <a:xfrm>
          <a:off x="571500" y="990600"/>
          <a:ext cx="2141220" cy="876300"/>
          <a:chOff x="2750820" y="960120"/>
          <a:chExt cx="2141220" cy="876300"/>
        </a:xfrm>
        <a:solidFill>
          <a:srgbClr val="002060"/>
        </a:solidFill>
      </xdr:grpSpPr>
      <xdr:sp macro="" textlink="">
        <xdr:nvSpPr>
          <xdr:cNvPr id="13" name="Rectangle: Rounded Corners 12">
            <a:extLst>
              <a:ext uri="{FF2B5EF4-FFF2-40B4-BE49-F238E27FC236}">
                <a16:creationId xmlns:a16="http://schemas.microsoft.com/office/drawing/2014/main" id="{CBA8DFC9-564C-BE00-AD96-22C269FE51C7}"/>
              </a:ext>
            </a:extLst>
          </xdr:cNvPr>
          <xdr:cNvSpPr/>
        </xdr:nvSpPr>
        <xdr:spPr>
          <a:xfrm>
            <a:off x="2750820" y="960120"/>
            <a:ext cx="214122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hlinkClick xmlns:r="http://schemas.openxmlformats.org/officeDocument/2006/relationships" r:id="rId4"/>
            <a:extLst>
              <a:ext uri="{FF2B5EF4-FFF2-40B4-BE49-F238E27FC236}">
                <a16:creationId xmlns:a16="http://schemas.microsoft.com/office/drawing/2014/main" id="{975F0856-3827-AF10-EB67-83673D22E0D8}"/>
              </a:ext>
            </a:extLst>
          </xdr:cNvPr>
          <xdr:cNvSpPr txBox="1"/>
        </xdr:nvSpPr>
        <xdr:spPr>
          <a:xfrm>
            <a:off x="2971800" y="990600"/>
            <a:ext cx="172974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Total Region</a:t>
            </a:r>
          </a:p>
        </xdr:txBody>
      </xdr:sp>
      <xdr:sp macro="" textlink="">
        <xdr:nvSpPr>
          <xdr:cNvPr id="15" name="TextBox 14">
            <a:extLst>
              <a:ext uri="{FF2B5EF4-FFF2-40B4-BE49-F238E27FC236}">
                <a16:creationId xmlns:a16="http://schemas.microsoft.com/office/drawing/2014/main" id="{7A7F6935-3925-AE57-6FCD-15A9B14B2E73}"/>
              </a:ext>
            </a:extLst>
          </xdr:cNvPr>
          <xdr:cNvSpPr txBox="1"/>
        </xdr:nvSpPr>
        <xdr:spPr>
          <a:xfrm>
            <a:off x="2971800" y="1386840"/>
            <a:ext cx="172974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4</a:t>
            </a:r>
          </a:p>
        </xdr:txBody>
      </xdr:sp>
    </xdr:grpSp>
    <xdr:clientData/>
  </xdr:twoCellAnchor>
  <xdr:twoCellAnchor>
    <xdr:from>
      <xdr:col>0</xdr:col>
      <xdr:colOff>548640</xdr:colOff>
      <xdr:row>10</xdr:row>
      <xdr:rowOff>83820</xdr:rowOff>
    </xdr:from>
    <xdr:to>
      <xdr:col>10</xdr:col>
      <xdr:colOff>7620</xdr:colOff>
      <xdr:row>22</xdr:row>
      <xdr:rowOff>152400</xdr:rowOff>
    </xdr:to>
    <xdr:sp macro="" textlink="">
      <xdr:nvSpPr>
        <xdr:cNvPr id="16" name="Rectangle: Rounded Corners 15">
          <a:extLst>
            <a:ext uri="{FF2B5EF4-FFF2-40B4-BE49-F238E27FC236}">
              <a16:creationId xmlns:a16="http://schemas.microsoft.com/office/drawing/2014/main" id="{78542933-8393-4789-A2A0-6268CE7536BC}"/>
            </a:ext>
          </a:extLst>
        </xdr:cNvPr>
        <xdr:cNvSpPr/>
      </xdr:nvSpPr>
      <xdr:spPr>
        <a:xfrm>
          <a:off x="548640" y="1912620"/>
          <a:ext cx="5554980" cy="226314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446714</xdr:colOff>
      <xdr:row>10</xdr:row>
      <xdr:rowOff>91440</xdr:rowOff>
    </xdr:from>
    <xdr:to>
      <xdr:col>9</xdr:col>
      <xdr:colOff>146335</xdr:colOff>
      <xdr:row>22</xdr:row>
      <xdr:rowOff>152400</xdr:rowOff>
    </xdr:to>
    <xdr:graphicFrame macro="">
      <xdr:nvGraphicFramePr>
        <xdr:cNvPr id="17" name="Chart 16">
          <a:extLst>
            <a:ext uri="{FF2B5EF4-FFF2-40B4-BE49-F238E27FC236}">
              <a16:creationId xmlns:a16="http://schemas.microsoft.com/office/drawing/2014/main" id="{3F9EF907-F589-4D8B-84FD-0245DE8E1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320040</xdr:colOff>
      <xdr:row>5</xdr:row>
      <xdr:rowOff>53340</xdr:rowOff>
    </xdr:from>
    <xdr:to>
      <xdr:col>22</xdr:col>
      <xdr:colOff>541020</xdr:colOff>
      <xdr:row>30</xdr:row>
      <xdr:rowOff>7620</xdr:rowOff>
    </xdr:to>
    <xdr:sp macro="" textlink="">
      <xdr:nvSpPr>
        <xdr:cNvPr id="19" name="Rectangle: Rounded Corners 18">
          <a:extLst>
            <a:ext uri="{FF2B5EF4-FFF2-40B4-BE49-F238E27FC236}">
              <a16:creationId xmlns:a16="http://schemas.microsoft.com/office/drawing/2014/main" id="{88D0C767-4357-DF92-9134-345196874487}"/>
            </a:ext>
          </a:extLst>
        </xdr:cNvPr>
        <xdr:cNvSpPr/>
      </xdr:nvSpPr>
      <xdr:spPr>
        <a:xfrm>
          <a:off x="11902440" y="967740"/>
          <a:ext cx="2049780" cy="4526280"/>
        </a:xfrm>
        <a:prstGeom prst="roundRect">
          <a:avLst/>
        </a:prstGeom>
        <a:solidFill>
          <a:srgbClr val="E07A5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350520</xdr:colOff>
      <xdr:row>18</xdr:row>
      <xdr:rowOff>133148</xdr:rowOff>
    </xdr:from>
    <xdr:to>
      <xdr:col>22</xdr:col>
      <xdr:colOff>548640</xdr:colOff>
      <xdr:row>27</xdr:row>
      <xdr:rowOff>60959</xdr:rowOff>
    </xdr:to>
    <mc:AlternateContent xmlns:mc="http://schemas.openxmlformats.org/markup-compatibility/2006">
      <mc:Choice xmlns:a14="http://schemas.microsoft.com/office/drawing/2010/main" Requires="a14">
        <xdr:graphicFrame macro="">
          <xdr:nvGraphicFramePr>
            <xdr:cNvPr id="20" name="Region 2">
              <a:extLst>
                <a:ext uri="{FF2B5EF4-FFF2-40B4-BE49-F238E27FC236}">
                  <a16:creationId xmlns:a16="http://schemas.microsoft.com/office/drawing/2014/main" id="{83C91502-E3A6-B97C-2D6C-48121AC1F6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932920" y="3424988"/>
              <a:ext cx="2026920" cy="1573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76200</xdr:colOff>
      <xdr:row>10</xdr:row>
      <xdr:rowOff>129540</xdr:rowOff>
    </xdr:from>
    <xdr:to>
      <xdr:col>19</xdr:col>
      <xdr:colOff>137160</xdr:colOff>
      <xdr:row>22</xdr:row>
      <xdr:rowOff>175260</xdr:rowOff>
    </xdr:to>
    <xdr:sp macro="" textlink="">
      <xdr:nvSpPr>
        <xdr:cNvPr id="21" name="Rectangle: Rounded Corners 20">
          <a:extLst>
            <a:ext uri="{FF2B5EF4-FFF2-40B4-BE49-F238E27FC236}">
              <a16:creationId xmlns:a16="http://schemas.microsoft.com/office/drawing/2014/main" id="{CD701A82-3C43-4216-9591-102E7C191836}"/>
            </a:ext>
          </a:extLst>
        </xdr:cNvPr>
        <xdr:cNvSpPr/>
      </xdr:nvSpPr>
      <xdr:spPr>
        <a:xfrm>
          <a:off x="6172200" y="1958340"/>
          <a:ext cx="5547360" cy="224028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287453</xdr:colOff>
      <xdr:row>10</xdr:row>
      <xdr:rowOff>60960</xdr:rowOff>
    </xdr:from>
    <xdr:to>
      <xdr:col>17</xdr:col>
      <xdr:colOff>597411</xdr:colOff>
      <xdr:row>23</xdr:row>
      <xdr:rowOff>91440</xdr:rowOff>
    </xdr:to>
    <xdr:graphicFrame macro="">
      <xdr:nvGraphicFramePr>
        <xdr:cNvPr id="22" name="Chart 21">
          <a:extLst>
            <a:ext uri="{FF2B5EF4-FFF2-40B4-BE49-F238E27FC236}">
              <a16:creationId xmlns:a16="http://schemas.microsoft.com/office/drawing/2014/main" id="{B85DC2CB-779B-4A80-9761-52A5300DB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190500</xdr:colOff>
      <xdr:row>23</xdr:row>
      <xdr:rowOff>106680</xdr:rowOff>
    </xdr:from>
    <xdr:to>
      <xdr:col>19</xdr:col>
      <xdr:colOff>160020</xdr:colOff>
      <xdr:row>36</xdr:row>
      <xdr:rowOff>76200</xdr:rowOff>
    </xdr:to>
    <xdr:sp macro="" textlink="">
      <xdr:nvSpPr>
        <xdr:cNvPr id="23" name="Rectangle: Rounded Corners 22">
          <a:extLst>
            <a:ext uri="{FF2B5EF4-FFF2-40B4-BE49-F238E27FC236}">
              <a16:creationId xmlns:a16="http://schemas.microsoft.com/office/drawing/2014/main" id="{48A463C6-1114-4A07-A47A-CAA548B19BF8}"/>
            </a:ext>
          </a:extLst>
        </xdr:cNvPr>
        <xdr:cNvSpPr/>
      </xdr:nvSpPr>
      <xdr:spPr>
        <a:xfrm>
          <a:off x="6286500" y="4312920"/>
          <a:ext cx="5455920" cy="234696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23</xdr:row>
      <xdr:rowOff>53340</xdr:rowOff>
    </xdr:from>
    <xdr:to>
      <xdr:col>18</xdr:col>
      <xdr:colOff>541020</xdr:colOff>
      <xdr:row>37</xdr:row>
      <xdr:rowOff>7620</xdr:rowOff>
    </xdr:to>
    <xdr:graphicFrame macro="">
      <xdr:nvGraphicFramePr>
        <xdr:cNvPr id="24" name="Chart 23">
          <a:extLst>
            <a:ext uri="{FF2B5EF4-FFF2-40B4-BE49-F238E27FC236}">
              <a16:creationId xmlns:a16="http://schemas.microsoft.com/office/drawing/2014/main" id="{E356B11A-0B66-40E8-8972-598063842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571500</xdr:colOff>
      <xdr:row>5</xdr:row>
      <xdr:rowOff>68580</xdr:rowOff>
    </xdr:from>
    <xdr:to>
      <xdr:col>7</xdr:col>
      <xdr:colOff>411480</xdr:colOff>
      <xdr:row>7</xdr:row>
      <xdr:rowOff>68580</xdr:rowOff>
    </xdr:to>
    <xdr:sp macro="" textlink="">
      <xdr:nvSpPr>
        <xdr:cNvPr id="25" name="TextBox 24">
          <a:hlinkClick xmlns:r="http://schemas.openxmlformats.org/officeDocument/2006/relationships" r:id="rId8"/>
          <a:extLst>
            <a:ext uri="{FF2B5EF4-FFF2-40B4-BE49-F238E27FC236}">
              <a16:creationId xmlns:a16="http://schemas.microsoft.com/office/drawing/2014/main" id="{E8860354-F397-4035-8ED6-48FCC523E93B}"/>
            </a:ext>
          </a:extLst>
        </xdr:cNvPr>
        <xdr:cNvSpPr txBox="1"/>
      </xdr:nvSpPr>
      <xdr:spPr>
        <a:xfrm>
          <a:off x="3009900" y="982980"/>
          <a:ext cx="16687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Total Profit</a:t>
          </a:r>
        </a:p>
      </xdr:txBody>
    </xdr:sp>
    <xdr:clientData/>
  </xdr:twoCellAnchor>
  <xdr:twoCellAnchor>
    <xdr:from>
      <xdr:col>5</xdr:col>
      <xdr:colOff>7620</xdr:colOff>
      <xdr:row>7</xdr:row>
      <xdr:rowOff>45720</xdr:rowOff>
    </xdr:from>
    <xdr:to>
      <xdr:col>7</xdr:col>
      <xdr:colOff>457200</xdr:colOff>
      <xdr:row>9</xdr:row>
      <xdr:rowOff>45720</xdr:rowOff>
    </xdr:to>
    <xdr:sp macro="" textlink="KPi!P8">
      <xdr:nvSpPr>
        <xdr:cNvPr id="26" name="TextBox 25">
          <a:extLst>
            <a:ext uri="{FF2B5EF4-FFF2-40B4-BE49-F238E27FC236}">
              <a16:creationId xmlns:a16="http://schemas.microsoft.com/office/drawing/2014/main" id="{A17EED8E-D291-4253-85E0-087F59081860}"/>
            </a:ext>
          </a:extLst>
        </xdr:cNvPr>
        <xdr:cNvSpPr txBox="1"/>
      </xdr:nvSpPr>
      <xdr:spPr>
        <a:xfrm>
          <a:off x="3055620" y="1325880"/>
          <a:ext cx="16687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704145-8246-4D67-BF7C-E5959D8409CC}" type="TxLink">
            <a:rPr lang="en-US" sz="1800" b="1" i="0" u="none" strike="noStrike">
              <a:solidFill>
                <a:schemeClr val="bg1"/>
              </a:solidFill>
              <a:latin typeface="Aptos Narrow"/>
            </a:rPr>
            <a:pPr algn="ctr"/>
            <a:t>143500</a:t>
          </a:fld>
          <a:endParaRPr lang="en-IN" sz="1800" b="1">
            <a:solidFill>
              <a:schemeClr val="bg1"/>
            </a:solidFill>
          </a:endParaRPr>
        </a:p>
      </xdr:txBody>
    </xdr:sp>
    <xdr:clientData/>
  </xdr:twoCellAnchor>
  <xdr:twoCellAnchor>
    <xdr:from>
      <xdr:col>0</xdr:col>
      <xdr:colOff>495300</xdr:colOff>
      <xdr:row>23</xdr:row>
      <xdr:rowOff>53340</xdr:rowOff>
    </xdr:from>
    <xdr:to>
      <xdr:col>10</xdr:col>
      <xdr:colOff>91440</xdr:colOff>
      <xdr:row>36</xdr:row>
      <xdr:rowOff>22860</xdr:rowOff>
    </xdr:to>
    <xdr:sp macro="" textlink="">
      <xdr:nvSpPr>
        <xdr:cNvPr id="27" name="Rectangle: Rounded Corners 26">
          <a:extLst>
            <a:ext uri="{FF2B5EF4-FFF2-40B4-BE49-F238E27FC236}">
              <a16:creationId xmlns:a16="http://schemas.microsoft.com/office/drawing/2014/main" id="{3C38B826-E765-4F07-A924-25BAD4451F0C}"/>
            </a:ext>
          </a:extLst>
        </xdr:cNvPr>
        <xdr:cNvSpPr/>
      </xdr:nvSpPr>
      <xdr:spPr>
        <a:xfrm>
          <a:off x="495300" y="4259580"/>
          <a:ext cx="5692140" cy="234696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485272</xdr:colOff>
      <xdr:row>23</xdr:row>
      <xdr:rowOff>53340</xdr:rowOff>
    </xdr:from>
    <xdr:to>
      <xdr:col>9</xdr:col>
      <xdr:colOff>162184</xdr:colOff>
      <xdr:row>35</xdr:row>
      <xdr:rowOff>91440</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E7320C6B-94F8-438B-8EB2-8E2B7FE159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94872" y="4259580"/>
              <a:ext cx="4553712" cy="223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83726</xdr:colOff>
      <xdr:row>46</xdr:row>
      <xdr:rowOff>0</xdr:rowOff>
    </xdr:from>
    <xdr:to>
      <xdr:col>13</xdr:col>
      <xdr:colOff>538950</xdr:colOff>
      <xdr:row>47</xdr:row>
      <xdr:rowOff>174601</xdr:rowOff>
    </xdr:to>
    <xdr:sp macro="" textlink="">
      <xdr:nvSpPr>
        <xdr:cNvPr id="31" name="TextBox 30">
          <a:hlinkClick xmlns:r="http://schemas.openxmlformats.org/officeDocument/2006/relationships" r:id="rId10"/>
          <a:extLst>
            <a:ext uri="{FF2B5EF4-FFF2-40B4-BE49-F238E27FC236}">
              <a16:creationId xmlns:a16="http://schemas.microsoft.com/office/drawing/2014/main" id="{E8AE7CD4-3BE1-4E46-879F-D9CB73B36213}"/>
            </a:ext>
          </a:extLst>
        </xdr:cNvPr>
        <xdr:cNvSpPr txBox="1"/>
      </xdr:nvSpPr>
      <xdr:spPr>
        <a:xfrm>
          <a:off x="6789326" y="8412480"/>
          <a:ext cx="1674424" cy="35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Total Profit</a:t>
          </a:r>
        </a:p>
      </xdr:txBody>
    </xdr:sp>
    <xdr:clientData/>
  </xdr:twoCellAnchor>
  <xdr:twoCellAnchor>
    <xdr:from>
      <xdr:col>11</xdr:col>
      <xdr:colOff>131327</xdr:colOff>
      <xdr:row>47</xdr:row>
      <xdr:rowOff>121261</xdr:rowOff>
    </xdr:from>
    <xdr:to>
      <xdr:col>13</xdr:col>
      <xdr:colOff>584670</xdr:colOff>
      <xdr:row>49</xdr:row>
      <xdr:rowOff>112983</xdr:rowOff>
    </xdr:to>
    <xdr:sp macro="" textlink="KPi!P8">
      <xdr:nvSpPr>
        <xdr:cNvPr id="32" name="TextBox 31">
          <a:extLst>
            <a:ext uri="{FF2B5EF4-FFF2-40B4-BE49-F238E27FC236}">
              <a16:creationId xmlns:a16="http://schemas.microsoft.com/office/drawing/2014/main" id="{55F19341-6844-43F2-ACB3-1EE36A71A8B7}"/>
            </a:ext>
          </a:extLst>
        </xdr:cNvPr>
        <xdr:cNvSpPr txBox="1"/>
      </xdr:nvSpPr>
      <xdr:spPr>
        <a:xfrm>
          <a:off x="6836927" y="8716621"/>
          <a:ext cx="1672543"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704145-8246-4D67-BF7C-E5959D8409CC}" type="TxLink">
            <a:rPr lang="en-US" sz="1800" b="1" i="0" u="none" strike="noStrike">
              <a:solidFill>
                <a:schemeClr val="bg1"/>
              </a:solidFill>
              <a:latin typeface="Aptos Narrow"/>
            </a:rPr>
            <a:pPr algn="ctr"/>
            <a:t>143500</a:t>
          </a:fld>
          <a:endParaRPr lang="en-IN" sz="1800" b="1">
            <a:solidFill>
              <a:schemeClr val="bg1"/>
            </a:solidFill>
          </a:endParaRPr>
        </a:p>
      </xdr:txBody>
    </xdr:sp>
    <xdr:clientData/>
  </xdr:twoCellAnchor>
  <xdr:twoCellAnchor editAs="oneCell">
    <xdr:from>
      <xdr:col>19</xdr:col>
      <xdr:colOff>335280</xdr:colOff>
      <xdr:row>8</xdr:row>
      <xdr:rowOff>38100</xdr:rowOff>
    </xdr:from>
    <xdr:to>
      <xdr:col>22</xdr:col>
      <xdr:colOff>525780</xdr:colOff>
      <xdr:row>18</xdr:row>
      <xdr:rowOff>49643</xdr:rowOff>
    </xdr:to>
    <mc:AlternateContent xmlns:mc="http://schemas.openxmlformats.org/markup-compatibility/2006">
      <mc:Choice xmlns:a14="http://schemas.microsoft.com/office/drawing/2010/main" Requires="a14">
        <xdr:graphicFrame macro="">
          <xdr:nvGraphicFramePr>
            <xdr:cNvPr id="41" name="Month 2">
              <a:extLst>
                <a:ext uri="{FF2B5EF4-FFF2-40B4-BE49-F238E27FC236}">
                  <a16:creationId xmlns:a16="http://schemas.microsoft.com/office/drawing/2014/main" id="{1FD72672-BC06-4097-8FBA-1298FFF17BC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1917680" y="1501140"/>
              <a:ext cx="2019300" cy="184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553167</xdr:colOff>
      <xdr:row>5</xdr:row>
      <xdr:rowOff>60960</xdr:rowOff>
    </xdr:from>
    <xdr:to>
      <xdr:col>19</xdr:col>
      <xdr:colOff>262022</xdr:colOff>
      <xdr:row>10</xdr:row>
      <xdr:rowOff>13806</xdr:rowOff>
    </xdr:to>
    <xdr:sp macro="" textlink="">
      <xdr:nvSpPr>
        <xdr:cNvPr id="48" name="Rectangle: Rounded Corners 47">
          <a:hlinkClick xmlns:r="http://schemas.openxmlformats.org/officeDocument/2006/relationships" r:id="rId11"/>
          <a:extLst>
            <a:ext uri="{FF2B5EF4-FFF2-40B4-BE49-F238E27FC236}">
              <a16:creationId xmlns:a16="http://schemas.microsoft.com/office/drawing/2014/main" id="{3B62B960-13D0-4F85-8D17-F00197E0B3E6}"/>
            </a:ext>
          </a:extLst>
        </xdr:cNvPr>
        <xdr:cNvSpPr/>
      </xdr:nvSpPr>
      <xdr:spPr>
        <a:xfrm>
          <a:off x="9697167" y="975360"/>
          <a:ext cx="2147255" cy="867246"/>
        </a:xfrm>
        <a:prstGeom prst="roundRect">
          <a:avLst/>
        </a:prstGeom>
        <a:solidFill>
          <a:srgbClr val="F0997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u="sng">
              <a:solidFill>
                <a:schemeClr val="bg1"/>
              </a:solidFill>
            </a:rPr>
            <a:t>Raw Data</a:t>
          </a:r>
        </a:p>
      </xdr:txBody>
    </xdr:sp>
    <xdr:clientData/>
  </xdr:twoCellAnchor>
  <xdr:twoCellAnchor>
    <xdr:from>
      <xdr:col>12</xdr:col>
      <xdr:colOff>68580</xdr:colOff>
      <xdr:row>5</xdr:row>
      <xdr:rowOff>76200</xdr:rowOff>
    </xdr:from>
    <xdr:to>
      <xdr:col>15</xdr:col>
      <xdr:colOff>385527</xdr:colOff>
      <xdr:row>10</xdr:row>
      <xdr:rowOff>29046</xdr:rowOff>
    </xdr:to>
    <xdr:sp macro="" textlink="">
      <xdr:nvSpPr>
        <xdr:cNvPr id="49" name="Rectangle: Rounded Corners 48">
          <a:hlinkClick xmlns:r="http://schemas.openxmlformats.org/officeDocument/2006/relationships" r:id="rId12"/>
          <a:extLst>
            <a:ext uri="{FF2B5EF4-FFF2-40B4-BE49-F238E27FC236}">
              <a16:creationId xmlns:a16="http://schemas.microsoft.com/office/drawing/2014/main" id="{AC22AF48-EC03-4433-BB88-06E53154E5A9}"/>
            </a:ext>
          </a:extLst>
        </xdr:cNvPr>
        <xdr:cNvSpPr/>
      </xdr:nvSpPr>
      <xdr:spPr>
        <a:xfrm>
          <a:off x="7383780" y="990600"/>
          <a:ext cx="2145747" cy="867246"/>
        </a:xfrm>
        <a:prstGeom prst="roundRect">
          <a:avLst/>
        </a:prstGeom>
        <a:solidFill>
          <a:srgbClr val="F0997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u="sng">
              <a:solidFill>
                <a:schemeClr val="bg1"/>
              </a:solidFill>
            </a:rPr>
            <a:t>KPI</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601980</xdr:colOff>
      <xdr:row>36</xdr:row>
      <xdr:rowOff>175260</xdr:rowOff>
    </xdr:to>
    <xdr:pic>
      <xdr:nvPicPr>
        <xdr:cNvPr id="2" name="Picture 1">
          <a:extLst>
            <a:ext uri="{FF2B5EF4-FFF2-40B4-BE49-F238E27FC236}">
              <a16:creationId xmlns:a16="http://schemas.microsoft.com/office/drawing/2014/main" id="{A2DD111E-8BA3-9441-E3A7-25A0761B4FD3}"/>
            </a:ext>
          </a:extLst>
        </xdr:cNvPr>
        <xdr:cNvPicPr>
          <a:picLocks noChangeAspect="1"/>
        </xdr:cNvPicPr>
      </xdr:nvPicPr>
      <xdr:blipFill>
        <a:blip xmlns:r="http://schemas.openxmlformats.org/officeDocument/2006/relationships" r:embed="rId1"/>
        <a:stretch>
          <a:fillRect/>
        </a:stretch>
      </xdr:blipFill>
      <xdr:spPr>
        <a:xfrm>
          <a:off x="0" y="0"/>
          <a:ext cx="14622780" cy="6758940"/>
        </a:xfrm>
        <a:prstGeom prst="rect">
          <a:avLst/>
        </a:prstGeom>
        <a:solidFill>
          <a:srgbClr val="F0997B"/>
        </a:solidFill>
        <a:ln>
          <a:noFill/>
        </a:ln>
        <a:effectLst>
          <a:innerShdw blurRad="63500" dist="50800" dir="5400000">
            <a:prstClr val="black">
              <a:alpha val="50000"/>
            </a:prstClr>
          </a:innerShdw>
        </a:effectLst>
      </xdr:spPr>
    </xdr:pic>
    <xdr:clientData/>
  </xdr:twoCellAnchor>
  <xdr:twoCellAnchor>
    <xdr:from>
      <xdr:col>0</xdr:col>
      <xdr:colOff>533022</xdr:colOff>
      <xdr:row>23</xdr:row>
      <xdr:rowOff>68429</xdr:rowOff>
    </xdr:from>
    <xdr:to>
      <xdr:col>10</xdr:col>
      <xdr:colOff>129162</xdr:colOff>
      <xdr:row>36</xdr:row>
      <xdr:rowOff>37949</xdr:rowOff>
    </xdr:to>
    <xdr:sp macro="" textlink="">
      <xdr:nvSpPr>
        <xdr:cNvPr id="18" name="Rectangle: Rounded Corners 17">
          <a:extLst>
            <a:ext uri="{FF2B5EF4-FFF2-40B4-BE49-F238E27FC236}">
              <a16:creationId xmlns:a16="http://schemas.microsoft.com/office/drawing/2014/main" id="{D707DD9E-E1BF-725C-95D1-56867A4D035A}"/>
            </a:ext>
          </a:extLst>
        </xdr:cNvPr>
        <xdr:cNvSpPr/>
      </xdr:nvSpPr>
      <xdr:spPr>
        <a:xfrm>
          <a:off x="533022" y="4233023"/>
          <a:ext cx="5707229" cy="2323421"/>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0</xdr:row>
      <xdr:rowOff>60960</xdr:rowOff>
    </xdr:from>
    <xdr:to>
      <xdr:col>22</xdr:col>
      <xdr:colOff>533400</xdr:colOff>
      <xdr:row>5</xdr:row>
      <xdr:rowOff>30480</xdr:rowOff>
    </xdr:to>
    <xdr:sp macro="" textlink="">
      <xdr:nvSpPr>
        <xdr:cNvPr id="3" name="Rectangle: Rounded Corners 2">
          <a:extLst>
            <a:ext uri="{FF2B5EF4-FFF2-40B4-BE49-F238E27FC236}">
              <a16:creationId xmlns:a16="http://schemas.microsoft.com/office/drawing/2014/main" id="{74D4BE6B-9184-64E0-ED68-FE42CA5E52FA}"/>
            </a:ext>
          </a:extLst>
        </xdr:cNvPr>
        <xdr:cNvSpPr/>
      </xdr:nvSpPr>
      <xdr:spPr>
        <a:xfrm>
          <a:off x="320040" y="60960"/>
          <a:ext cx="13624560" cy="883920"/>
        </a:xfrm>
        <a:prstGeom prst="roundRect">
          <a:avLst/>
        </a:prstGeom>
        <a:solidFill>
          <a:srgbClr val="993C1D">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373380</xdr:colOff>
      <xdr:row>5</xdr:row>
      <xdr:rowOff>76200</xdr:rowOff>
    </xdr:from>
    <xdr:to>
      <xdr:col>8</xdr:col>
      <xdr:colOff>76200</xdr:colOff>
      <xdr:row>10</xdr:row>
      <xdr:rowOff>38100</xdr:rowOff>
    </xdr:to>
    <xdr:sp macro="" textlink="">
      <xdr:nvSpPr>
        <xdr:cNvPr id="6" name="Rectangle: Rounded Corners 5">
          <a:extLst>
            <a:ext uri="{FF2B5EF4-FFF2-40B4-BE49-F238E27FC236}">
              <a16:creationId xmlns:a16="http://schemas.microsoft.com/office/drawing/2014/main" id="{332DCB91-17C2-9BBA-E5DD-EAB86ECA361F}"/>
            </a:ext>
          </a:extLst>
        </xdr:cNvPr>
        <xdr:cNvSpPr/>
      </xdr:nvSpPr>
      <xdr:spPr>
        <a:xfrm>
          <a:off x="2811780" y="990600"/>
          <a:ext cx="2141220" cy="876300"/>
        </a:xfrm>
        <a:prstGeom prst="roundRect">
          <a:avLst/>
        </a:prstGeom>
        <a:solidFill>
          <a:srgbClr val="00206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556260</xdr:colOff>
      <xdr:row>5</xdr:row>
      <xdr:rowOff>60960</xdr:rowOff>
    </xdr:from>
    <xdr:to>
      <xdr:col>19</xdr:col>
      <xdr:colOff>259080</xdr:colOff>
      <xdr:row>10</xdr:row>
      <xdr:rowOff>22860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8C0206CD-6D99-E7D8-0FF8-93FBA3D312B3}"/>
            </a:ext>
          </a:extLst>
        </xdr:cNvPr>
        <xdr:cNvSpPr/>
      </xdr:nvSpPr>
      <xdr:spPr>
        <a:xfrm>
          <a:off x="9700260" y="975360"/>
          <a:ext cx="2141220" cy="876300"/>
        </a:xfrm>
        <a:prstGeom prst="roundRect">
          <a:avLst/>
        </a:prstGeom>
        <a:solidFill>
          <a:srgbClr val="F0997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u="sng">
              <a:solidFill>
                <a:schemeClr val="bg1"/>
              </a:solidFill>
            </a:rPr>
            <a:t>Raw Data</a:t>
          </a:r>
        </a:p>
      </xdr:txBody>
    </xdr:sp>
    <xdr:clientData/>
  </xdr:twoCellAnchor>
  <xdr:twoCellAnchor>
    <xdr:from>
      <xdr:col>6</xdr:col>
      <xdr:colOff>457200</xdr:colOff>
      <xdr:row>0</xdr:row>
      <xdr:rowOff>129540</xdr:rowOff>
    </xdr:from>
    <xdr:to>
      <xdr:col>18</xdr:col>
      <xdr:colOff>297180</xdr:colOff>
      <xdr:row>4</xdr:row>
      <xdr:rowOff>22860</xdr:rowOff>
    </xdr:to>
    <xdr:sp macro="" textlink="">
      <xdr:nvSpPr>
        <xdr:cNvPr id="21" name="TextBox 20">
          <a:extLst>
            <a:ext uri="{FF2B5EF4-FFF2-40B4-BE49-F238E27FC236}">
              <a16:creationId xmlns:a16="http://schemas.microsoft.com/office/drawing/2014/main" id="{B36C54BE-01A6-C108-4597-9B4919B798F8}"/>
            </a:ext>
          </a:extLst>
        </xdr:cNvPr>
        <xdr:cNvSpPr txBox="1"/>
      </xdr:nvSpPr>
      <xdr:spPr>
        <a:xfrm>
          <a:off x="4114800" y="129540"/>
          <a:ext cx="715518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Pharma Company Dashboard</a:t>
          </a:r>
        </a:p>
      </xdr:txBody>
    </xdr:sp>
    <xdr:clientData/>
  </xdr:twoCellAnchor>
  <xdr:twoCellAnchor>
    <xdr:from>
      <xdr:col>4</xdr:col>
      <xdr:colOff>556261</xdr:colOff>
      <xdr:row>0</xdr:row>
      <xdr:rowOff>0</xdr:rowOff>
    </xdr:from>
    <xdr:to>
      <xdr:col>6</xdr:col>
      <xdr:colOff>518160</xdr:colOff>
      <xdr:row>5</xdr:row>
      <xdr:rowOff>121920</xdr:rowOff>
    </xdr:to>
    <xdr:grpSp>
      <xdr:nvGrpSpPr>
        <xdr:cNvPr id="29" name="Group 28">
          <a:extLst>
            <a:ext uri="{FF2B5EF4-FFF2-40B4-BE49-F238E27FC236}">
              <a16:creationId xmlns:a16="http://schemas.microsoft.com/office/drawing/2014/main" id="{D2DD50CB-E89E-49BA-A31D-A1E64082FD3C}"/>
            </a:ext>
          </a:extLst>
        </xdr:cNvPr>
        <xdr:cNvGrpSpPr/>
      </xdr:nvGrpSpPr>
      <xdr:grpSpPr>
        <a:xfrm>
          <a:off x="2994661" y="0"/>
          <a:ext cx="1181099" cy="1036320"/>
          <a:chOff x="5074921" y="11871960"/>
          <a:chExt cx="3032759" cy="2651760"/>
        </a:xfrm>
      </xdr:grpSpPr>
      <xdr:sp macro="" textlink="">
        <xdr:nvSpPr>
          <xdr:cNvPr id="30" name="Flowchart: Connector 29">
            <a:extLst>
              <a:ext uri="{FF2B5EF4-FFF2-40B4-BE49-F238E27FC236}">
                <a16:creationId xmlns:a16="http://schemas.microsoft.com/office/drawing/2014/main" id="{F49CD4F1-CEDA-68CB-8132-A35D4FBDAA78}"/>
              </a:ext>
            </a:extLst>
          </xdr:cNvPr>
          <xdr:cNvSpPr/>
        </xdr:nvSpPr>
        <xdr:spPr>
          <a:xfrm>
            <a:off x="5486400" y="12070080"/>
            <a:ext cx="2278380" cy="2148840"/>
          </a:xfrm>
          <a:prstGeom prst="flowChartConnector">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31" name="Picture 30">
            <a:extLst>
              <a:ext uri="{FF2B5EF4-FFF2-40B4-BE49-F238E27FC236}">
                <a16:creationId xmlns:a16="http://schemas.microsoft.com/office/drawing/2014/main" id="{8B7AE38A-6CBF-6C8F-D0D2-DA398E340566}"/>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5074921" y="11871960"/>
            <a:ext cx="3032759" cy="2651760"/>
          </a:xfrm>
          <a:prstGeom prst="rect">
            <a:avLst/>
          </a:prstGeom>
        </xdr:spPr>
      </xdr:pic>
    </xdr:grpSp>
    <xdr:clientData/>
  </xdr:twoCellAnchor>
  <xdr:twoCellAnchor>
    <xdr:from>
      <xdr:col>0</xdr:col>
      <xdr:colOff>571500</xdr:colOff>
      <xdr:row>5</xdr:row>
      <xdr:rowOff>76200</xdr:rowOff>
    </xdr:from>
    <xdr:to>
      <xdr:col>4</xdr:col>
      <xdr:colOff>274320</xdr:colOff>
      <xdr:row>10</xdr:row>
      <xdr:rowOff>38100</xdr:rowOff>
    </xdr:to>
    <xdr:grpSp>
      <xdr:nvGrpSpPr>
        <xdr:cNvPr id="15" name="Group 14">
          <a:extLst>
            <a:ext uri="{FF2B5EF4-FFF2-40B4-BE49-F238E27FC236}">
              <a16:creationId xmlns:a16="http://schemas.microsoft.com/office/drawing/2014/main" id="{7399084B-A933-4E63-9C00-3F8DDF21A3C2}"/>
            </a:ext>
          </a:extLst>
        </xdr:cNvPr>
        <xdr:cNvGrpSpPr/>
      </xdr:nvGrpSpPr>
      <xdr:grpSpPr>
        <a:xfrm>
          <a:off x="571500" y="990600"/>
          <a:ext cx="2141220" cy="876300"/>
          <a:chOff x="2750820" y="960120"/>
          <a:chExt cx="2141220" cy="876300"/>
        </a:xfrm>
        <a:solidFill>
          <a:srgbClr val="F0997B"/>
        </a:solidFill>
      </xdr:grpSpPr>
      <xdr:sp macro="" textlink="">
        <xdr:nvSpPr>
          <xdr:cNvPr id="4" name="Rectangle: Rounded Corners 3">
            <a:extLst>
              <a:ext uri="{FF2B5EF4-FFF2-40B4-BE49-F238E27FC236}">
                <a16:creationId xmlns:a16="http://schemas.microsoft.com/office/drawing/2014/main" id="{68B081D9-2DD7-C3CD-1752-AE2D9ADB1C5B}"/>
              </a:ext>
            </a:extLst>
          </xdr:cNvPr>
          <xdr:cNvSpPr/>
        </xdr:nvSpPr>
        <xdr:spPr>
          <a:xfrm>
            <a:off x="2750820" y="960120"/>
            <a:ext cx="214122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hlinkClick xmlns:r="http://schemas.openxmlformats.org/officeDocument/2006/relationships" r:id="rId5"/>
            <a:extLst>
              <a:ext uri="{FF2B5EF4-FFF2-40B4-BE49-F238E27FC236}">
                <a16:creationId xmlns:a16="http://schemas.microsoft.com/office/drawing/2014/main" id="{BC68C85A-728A-E909-DDD3-B879F95D6C08}"/>
              </a:ext>
            </a:extLst>
          </xdr:cNvPr>
          <xdr:cNvSpPr txBox="1"/>
        </xdr:nvSpPr>
        <xdr:spPr>
          <a:xfrm>
            <a:off x="2971800" y="990600"/>
            <a:ext cx="172974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Total Region</a:t>
            </a:r>
          </a:p>
        </xdr:txBody>
      </xdr:sp>
      <xdr:sp macro="" textlink="">
        <xdr:nvSpPr>
          <xdr:cNvPr id="33" name="TextBox 32">
            <a:extLst>
              <a:ext uri="{FF2B5EF4-FFF2-40B4-BE49-F238E27FC236}">
                <a16:creationId xmlns:a16="http://schemas.microsoft.com/office/drawing/2014/main" id="{353152ED-CD38-D2EE-60D4-57E8C41881EA}"/>
              </a:ext>
            </a:extLst>
          </xdr:cNvPr>
          <xdr:cNvSpPr txBox="1"/>
        </xdr:nvSpPr>
        <xdr:spPr>
          <a:xfrm>
            <a:off x="2971800" y="1386840"/>
            <a:ext cx="172974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4</a:t>
            </a:r>
          </a:p>
        </xdr:txBody>
      </xdr:sp>
    </xdr:grpSp>
    <xdr:clientData/>
  </xdr:twoCellAnchor>
  <xdr:twoCellAnchor>
    <xdr:from>
      <xdr:col>0</xdr:col>
      <xdr:colOff>548640</xdr:colOff>
      <xdr:row>10</xdr:row>
      <xdr:rowOff>83820</xdr:rowOff>
    </xdr:from>
    <xdr:to>
      <xdr:col>10</xdr:col>
      <xdr:colOff>7620</xdr:colOff>
      <xdr:row>22</xdr:row>
      <xdr:rowOff>152400</xdr:rowOff>
    </xdr:to>
    <xdr:sp macro="" textlink="">
      <xdr:nvSpPr>
        <xdr:cNvPr id="20" name="Rectangle: Rounded Corners 19">
          <a:extLst>
            <a:ext uri="{FF2B5EF4-FFF2-40B4-BE49-F238E27FC236}">
              <a16:creationId xmlns:a16="http://schemas.microsoft.com/office/drawing/2014/main" id="{3D84D614-E3C5-E50E-AB51-C015D56CF3E2}"/>
            </a:ext>
          </a:extLst>
        </xdr:cNvPr>
        <xdr:cNvSpPr/>
      </xdr:nvSpPr>
      <xdr:spPr>
        <a:xfrm>
          <a:off x="548640" y="1912620"/>
          <a:ext cx="5554980" cy="226314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10</xdr:row>
      <xdr:rowOff>129540</xdr:rowOff>
    </xdr:from>
    <xdr:to>
      <xdr:col>19</xdr:col>
      <xdr:colOff>137160</xdr:colOff>
      <xdr:row>22</xdr:row>
      <xdr:rowOff>175260</xdr:rowOff>
    </xdr:to>
    <xdr:sp macro="" textlink="">
      <xdr:nvSpPr>
        <xdr:cNvPr id="17" name="Rectangle: Rounded Corners 16">
          <a:extLst>
            <a:ext uri="{FF2B5EF4-FFF2-40B4-BE49-F238E27FC236}">
              <a16:creationId xmlns:a16="http://schemas.microsoft.com/office/drawing/2014/main" id="{F31F00FF-3811-BD5E-48F6-B9F0667AD87C}"/>
            </a:ext>
          </a:extLst>
        </xdr:cNvPr>
        <xdr:cNvSpPr/>
      </xdr:nvSpPr>
      <xdr:spPr>
        <a:xfrm>
          <a:off x="6172200" y="1958340"/>
          <a:ext cx="5547360" cy="224028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190500</xdr:colOff>
      <xdr:row>23</xdr:row>
      <xdr:rowOff>106680</xdr:rowOff>
    </xdr:from>
    <xdr:to>
      <xdr:col>19</xdr:col>
      <xdr:colOff>160020</xdr:colOff>
      <xdr:row>36</xdr:row>
      <xdr:rowOff>76200</xdr:rowOff>
    </xdr:to>
    <xdr:sp macro="" textlink="">
      <xdr:nvSpPr>
        <xdr:cNvPr id="19" name="Rectangle: Rounded Corners 18">
          <a:extLst>
            <a:ext uri="{FF2B5EF4-FFF2-40B4-BE49-F238E27FC236}">
              <a16:creationId xmlns:a16="http://schemas.microsoft.com/office/drawing/2014/main" id="{82A0A814-04B9-7FE4-D6ED-774469FEEA48}"/>
            </a:ext>
          </a:extLst>
        </xdr:cNvPr>
        <xdr:cNvSpPr/>
      </xdr:nvSpPr>
      <xdr:spPr>
        <a:xfrm>
          <a:off x="6286500" y="4312920"/>
          <a:ext cx="5455920" cy="2346960"/>
        </a:xfrm>
        <a:prstGeom prst="roundRect">
          <a:avLst/>
        </a:prstGeom>
        <a:solidFill>
          <a:srgbClr val="F5C4B3">
            <a:alpha val="26000"/>
          </a:srgbClr>
        </a:solidFill>
        <a:ln w="3175">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5</xdr:row>
      <xdr:rowOff>68580</xdr:rowOff>
    </xdr:from>
    <xdr:to>
      <xdr:col>7</xdr:col>
      <xdr:colOff>411480</xdr:colOff>
      <xdr:row>7</xdr:row>
      <xdr:rowOff>68580</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7DC961AE-6060-E75E-513C-95651CCDFE98}"/>
            </a:ext>
          </a:extLst>
        </xdr:cNvPr>
        <xdr:cNvSpPr txBox="1"/>
      </xdr:nvSpPr>
      <xdr:spPr>
        <a:xfrm>
          <a:off x="3009900" y="982980"/>
          <a:ext cx="16687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Total Profit</a:t>
          </a:r>
        </a:p>
      </xdr:txBody>
    </xdr:sp>
    <xdr:clientData/>
  </xdr:twoCellAnchor>
  <xdr:twoCellAnchor>
    <xdr:from>
      <xdr:col>5</xdr:col>
      <xdr:colOff>7620</xdr:colOff>
      <xdr:row>7</xdr:row>
      <xdr:rowOff>45720</xdr:rowOff>
    </xdr:from>
    <xdr:to>
      <xdr:col>7</xdr:col>
      <xdr:colOff>457200</xdr:colOff>
      <xdr:row>9</xdr:row>
      <xdr:rowOff>45720</xdr:rowOff>
    </xdr:to>
    <xdr:sp macro="" textlink="KPi!P8">
      <xdr:nvSpPr>
        <xdr:cNvPr id="47" name="TextBox 46">
          <a:extLst>
            <a:ext uri="{FF2B5EF4-FFF2-40B4-BE49-F238E27FC236}">
              <a16:creationId xmlns:a16="http://schemas.microsoft.com/office/drawing/2014/main" id="{E6263988-E5E4-BCAB-9CF1-127472334D89}"/>
            </a:ext>
          </a:extLst>
        </xdr:cNvPr>
        <xdr:cNvSpPr txBox="1"/>
      </xdr:nvSpPr>
      <xdr:spPr>
        <a:xfrm>
          <a:off x="3055620" y="1325880"/>
          <a:ext cx="16687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704145-8246-4D67-BF7C-E5959D8409CC}" type="TxLink">
            <a:rPr lang="en-US" sz="1800" b="1" i="0" u="none" strike="noStrike">
              <a:solidFill>
                <a:schemeClr val="bg1"/>
              </a:solidFill>
              <a:latin typeface="Aptos Narrow"/>
            </a:rPr>
            <a:pPr algn="ctr"/>
            <a:t>143500</a:t>
          </a:fld>
          <a:endParaRPr lang="en-IN" sz="1800" b="1">
            <a:solidFill>
              <a:schemeClr val="bg1"/>
            </a:solidFill>
          </a:endParaRPr>
        </a:p>
      </xdr:txBody>
    </xdr:sp>
    <xdr:clientData/>
  </xdr:twoCellAnchor>
  <xdr:twoCellAnchor>
    <xdr:from>
      <xdr:col>12</xdr:col>
      <xdr:colOff>76200</xdr:colOff>
      <xdr:row>5</xdr:row>
      <xdr:rowOff>76200</xdr:rowOff>
    </xdr:from>
    <xdr:to>
      <xdr:col>15</xdr:col>
      <xdr:colOff>388620</xdr:colOff>
      <xdr:row>10</xdr:row>
      <xdr:rowOff>38100</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BC80455C-A14A-3983-7436-6696C9D6242C}"/>
            </a:ext>
          </a:extLst>
        </xdr:cNvPr>
        <xdr:cNvSpPr/>
      </xdr:nvSpPr>
      <xdr:spPr>
        <a:xfrm>
          <a:off x="7391400" y="990600"/>
          <a:ext cx="2141220" cy="876300"/>
        </a:xfrm>
        <a:prstGeom prst="roundRect">
          <a:avLst/>
        </a:prstGeom>
        <a:solidFill>
          <a:srgbClr val="F0997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u="sng">
              <a:solidFill>
                <a:schemeClr val="bg1"/>
              </a:solidFill>
            </a:rPr>
            <a:t>KPI</a:t>
          </a:r>
        </a:p>
      </xdr:txBody>
    </xdr:sp>
    <xdr:clientData/>
  </xdr:twoCellAnchor>
  <xdr:twoCellAnchor>
    <xdr:from>
      <xdr:col>11</xdr:col>
      <xdr:colOff>83726</xdr:colOff>
      <xdr:row>46</xdr:row>
      <xdr:rowOff>0</xdr:rowOff>
    </xdr:from>
    <xdr:to>
      <xdr:col>13</xdr:col>
      <xdr:colOff>538950</xdr:colOff>
      <xdr:row>47</xdr:row>
      <xdr:rowOff>174601</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52B72EF8-5D41-4766-97EC-F547E3AF76F9}"/>
            </a:ext>
          </a:extLst>
        </xdr:cNvPr>
        <xdr:cNvSpPr txBox="1"/>
      </xdr:nvSpPr>
      <xdr:spPr>
        <a:xfrm>
          <a:off x="6789326" y="8412480"/>
          <a:ext cx="1674424" cy="35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Total Profit</a:t>
          </a:r>
        </a:p>
      </xdr:txBody>
    </xdr:sp>
    <xdr:clientData/>
  </xdr:twoCellAnchor>
  <xdr:twoCellAnchor>
    <xdr:from>
      <xdr:col>11</xdr:col>
      <xdr:colOff>131327</xdr:colOff>
      <xdr:row>47</xdr:row>
      <xdr:rowOff>121261</xdr:rowOff>
    </xdr:from>
    <xdr:to>
      <xdr:col>13</xdr:col>
      <xdr:colOff>584670</xdr:colOff>
      <xdr:row>49</xdr:row>
      <xdr:rowOff>112983</xdr:rowOff>
    </xdr:to>
    <xdr:sp macro="" textlink="KPi!P8">
      <xdr:nvSpPr>
        <xdr:cNvPr id="12" name="TextBox 11">
          <a:extLst>
            <a:ext uri="{FF2B5EF4-FFF2-40B4-BE49-F238E27FC236}">
              <a16:creationId xmlns:a16="http://schemas.microsoft.com/office/drawing/2014/main" id="{A5408599-886B-49E3-B570-A24B1DC83890}"/>
            </a:ext>
          </a:extLst>
        </xdr:cNvPr>
        <xdr:cNvSpPr txBox="1"/>
      </xdr:nvSpPr>
      <xdr:spPr>
        <a:xfrm>
          <a:off x="6836927" y="8716621"/>
          <a:ext cx="1672543"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704145-8246-4D67-BF7C-E5959D8409CC}" type="TxLink">
            <a:rPr lang="en-US" sz="1800" b="1" i="0" u="none" strike="noStrike">
              <a:solidFill>
                <a:schemeClr val="bg1"/>
              </a:solidFill>
              <a:latin typeface="Aptos Narrow"/>
            </a:rPr>
            <a:pPr algn="ctr"/>
            <a:t>143500</a:t>
          </a:fld>
          <a:endParaRPr lang="en-IN" sz="1800" b="1">
            <a:solidFill>
              <a:schemeClr val="bg1"/>
            </a:solidFill>
          </a:endParaRPr>
        </a:p>
      </xdr:txBody>
    </xdr:sp>
    <xdr:clientData/>
  </xdr:twoCellAnchor>
  <xdr:twoCellAnchor>
    <xdr:from>
      <xdr:col>1</xdr:col>
      <xdr:colOff>145319</xdr:colOff>
      <xdr:row>10</xdr:row>
      <xdr:rowOff>9333</xdr:rowOff>
    </xdr:from>
    <xdr:to>
      <xdr:col>9</xdr:col>
      <xdr:colOff>416071</xdr:colOff>
      <xdr:row>22</xdr:row>
      <xdr:rowOff>143400</xdr:rowOff>
    </xdr:to>
    <xdr:graphicFrame macro="">
      <xdr:nvGraphicFramePr>
        <xdr:cNvPr id="24" name="Chart 23">
          <a:extLst>
            <a:ext uri="{FF2B5EF4-FFF2-40B4-BE49-F238E27FC236}">
              <a16:creationId xmlns:a16="http://schemas.microsoft.com/office/drawing/2014/main" id="{6F0314E7-79D6-AE64-030A-91502481E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566196</xdr:colOff>
      <xdr:row>10</xdr:row>
      <xdr:rowOff>141644</xdr:rowOff>
    </xdr:from>
    <xdr:to>
      <xdr:col>18</xdr:col>
      <xdr:colOff>498737</xdr:colOff>
      <xdr:row>22</xdr:row>
      <xdr:rowOff>161475</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9F385FDD-9FCA-8D08-E407-D4C8122EB4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288394" y="1952337"/>
              <a:ext cx="4210303" cy="21926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264912</xdr:colOff>
      <xdr:row>10</xdr:row>
      <xdr:rowOff>170023</xdr:rowOff>
    </xdr:from>
    <xdr:to>
      <xdr:col>13</xdr:col>
      <xdr:colOff>293411</xdr:colOff>
      <xdr:row>12</xdr:row>
      <xdr:rowOff>176183</xdr:rowOff>
    </xdr:to>
    <xdr:sp macro="" textlink="">
      <xdr:nvSpPr>
        <xdr:cNvPr id="28" name="TextBox 27">
          <a:extLst>
            <a:ext uri="{FF2B5EF4-FFF2-40B4-BE49-F238E27FC236}">
              <a16:creationId xmlns:a16="http://schemas.microsoft.com/office/drawing/2014/main" id="{F658AF06-B537-2671-C8D4-37A92FC19887}"/>
            </a:ext>
          </a:extLst>
        </xdr:cNvPr>
        <xdr:cNvSpPr txBox="1"/>
      </xdr:nvSpPr>
      <xdr:spPr>
        <a:xfrm>
          <a:off x="6328138" y="1972604"/>
          <a:ext cx="1847467" cy="36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12B13"/>
              </a:solidFill>
            </a:rPr>
            <a:t>Catagory VS Profit</a:t>
          </a:r>
        </a:p>
      </xdr:txBody>
    </xdr:sp>
    <xdr:clientData/>
  </xdr:twoCellAnchor>
  <xdr:twoCellAnchor>
    <xdr:from>
      <xdr:col>10</xdr:col>
      <xdr:colOff>384772</xdr:colOff>
      <xdr:row>23</xdr:row>
      <xdr:rowOff>105624</xdr:rowOff>
    </xdr:from>
    <xdr:to>
      <xdr:col>18</xdr:col>
      <xdr:colOff>49613</xdr:colOff>
      <xdr:row>35</xdr:row>
      <xdr:rowOff>165452</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8314D716-3D06-47BC-8E23-EF0BE05B38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495861" y="4270218"/>
              <a:ext cx="4553712" cy="223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321775</xdr:colOff>
      <xdr:row>22</xdr:row>
      <xdr:rowOff>68429</xdr:rowOff>
    </xdr:from>
    <xdr:to>
      <xdr:col>9</xdr:col>
      <xdr:colOff>33908</xdr:colOff>
      <xdr:row>37</xdr:row>
      <xdr:rowOff>76337</xdr:rowOff>
    </xdr:to>
    <xdr:graphicFrame macro="">
      <xdr:nvGraphicFramePr>
        <xdr:cNvPr id="48" name="Chart 47">
          <a:extLst>
            <a:ext uri="{FF2B5EF4-FFF2-40B4-BE49-F238E27FC236}">
              <a16:creationId xmlns:a16="http://schemas.microsoft.com/office/drawing/2014/main" id="{3E7CFD9E-E12D-44C6-8B9A-5121680A7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314835</xdr:colOff>
      <xdr:row>5</xdr:row>
      <xdr:rowOff>70013</xdr:rowOff>
    </xdr:from>
    <xdr:to>
      <xdr:col>22</xdr:col>
      <xdr:colOff>538908</xdr:colOff>
      <xdr:row>30</xdr:row>
      <xdr:rowOff>69561</xdr:rowOff>
    </xdr:to>
    <xdr:grpSp>
      <xdr:nvGrpSpPr>
        <xdr:cNvPr id="54" name="Group 53">
          <a:extLst>
            <a:ext uri="{FF2B5EF4-FFF2-40B4-BE49-F238E27FC236}">
              <a16:creationId xmlns:a16="http://schemas.microsoft.com/office/drawing/2014/main" id="{2342CAE1-581C-FCF4-4520-662FC0251254}"/>
            </a:ext>
          </a:extLst>
        </xdr:cNvPr>
        <xdr:cNvGrpSpPr/>
      </xdr:nvGrpSpPr>
      <xdr:grpSpPr>
        <a:xfrm>
          <a:off x="11897235" y="984413"/>
          <a:ext cx="2052873" cy="4571548"/>
          <a:chOff x="9700260" y="975360"/>
          <a:chExt cx="2057400" cy="4526280"/>
        </a:xfrm>
      </xdr:grpSpPr>
      <xdr:sp macro="" textlink="">
        <xdr:nvSpPr>
          <xdr:cNvPr id="51" name="Rectangle: Rounded Corners 50">
            <a:extLst>
              <a:ext uri="{FF2B5EF4-FFF2-40B4-BE49-F238E27FC236}">
                <a16:creationId xmlns:a16="http://schemas.microsoft.com/office/drawing/2014/main" id="{F7FD85E3-4302-439B-9591-E73F609D9304}"/>
              </a:ext>
            </a:extLst>
          </xdr:cNvPr>
          <xdr:cNvSpPr/>
        </xdr:nvSpPr>
        <xdr:spPr>
          <a:xfrm>
            <a:off x="9700260" y="975360"/>
            <a:ext cx="2049780" cy="4526280"/>
          </a:xfrm>
          <a:prstGeom prst="roundRect">
            <a:avLst/>
          </a:prstGeom>
          <a:solidFill>
            <a:srgbClr val="E07A5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52" name="Region 3">
                <a:extLst>
                  <a:ext uri="{FF2B5EF4-FFF2-40B4-BE49-F238E27FC236}">
                    <a16:creationId xmlns:a16="http://schemas.microsoft.com/office/drawing/2014/main" id="{437FA75F-9E43-454B-8997-F4D3B52EC932}"/>
                  </a:ext>
                </a:extLst>
              </xdr:cNvPr>
              <xdr:cNvGraphicFramePr/>
            </xdr:nvGraphicFramePr>
            <xdr:xfrm>
              <a:off x="9730740" y="3432608"/>
              <a:ext cx="2026920" cy="1573731"/>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1927648" y="3466236"/>
                <a:ext cx="2022460" cy="1589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3" name="Month 3">
                <a:extLst>
                  <a:ext uri="{FF2B5EF4-FFF2-40B4-BE49-F238E27FC236}">
                    <a16:creationId xmlns:a16="http://schemas.microsoft.com/office/drawing/2014/main" id="{3D96C8B3-55F9-4919-8EAF-166FAC2AD8EC}"/>
                  </a:ext>
                </a:extLst>
              </xdr:cNvPr>
              <xdr:cNvGraphicFramePr/>
            </xdr:nvGraphicFramePr>
            <xdr:xfrm>
              <a:off x="9715500" y="1508760"/>
              <a:ext cx="2019300" cy="1840343"/>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11912441" y="1523148"/>
                <a:ext cx="2014857" cy="185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101.566399884257" createdVersion="8" refreshedVersion="8" minRefreshableVersion="3" recordCount="20" xr:uid="{88709770-673D-4CC1-B796-DC8E1CDF803A}">
  <cacheSource type="worksheet">
    <worksheetSource ref="A1:J21" sheet="raw data"/>
  </cacheSource>
  <cacheFields count="10">
    <cacheField name="Product ID" numFmtId="0">
      <sharedItems/>
    </cacheField>
    <cacheField name="Product Name" numFmtId="0">
      <sharedItems count="10">
        <s v="PainRelief Plus"/>
        <s v="CardioCare"/>
        <s v="ImmunoBoost"/>
        <s v="NeuroMax"/>
        <s v="RespiraAid"/>
        <s v="HepaGuard"/>
        <s v="Dermacare"/>
        <s v="OsteoFlex"/>
        <s v="VisionPro"/>
        <s v="GlucoBalance"/>
      </sharedItems>
    </cacheField>
    <cacheField name="Category" numFmtId="0">
      <sharedItems count="2">
        <s v="OTC"/>
        <s v="Prescription"/>
      </sharedItems>
    </cacheField>
    <cacheField name="Region" numFmtId="0">
      <sharedItems count="4">
        <s v="North"/>
        <s v="East"/>
        <s v="South"/>
        <s v="West"/>
      </sharedItems>
    </cacheField>
    <cacheField name="Sales Rep" numFmtId="0">
      <sharedItems count="20">
        <s v="A. Sharma"/>
        <s v="B. Singh"/>
        <s v="C. Patel"/>
        <s v="D. Khan"/>
        <s v="E. Das"/>
        <s v="F. Roy"/>
        <s v="G. Bose"/>
        <s v="H. Gupta"/>
        <s v="I. Sen"/>
        <s v="J. Banerjee"/>
        <s v="K. Mehta"/>
        <s v="L. Chatterjee"/>
        <s v="M. Saha"/>
        <s v="N. Ghosh"/>
        <s v="O. Dutta"/>
        <s v="P. Mukherjee"/>
        <s v="Q. Pal"/>
        <s v="R. Chakraborty"/>
        <s v="S. Bhattacharya"/>
        <s v="T. Mondal"/>
      </sharedItems>
    </cacheField>
    <cacheField name="Units Sold" numFmtId="0">
      <sharedItems containsSemiMixedTypes="0" containsString="0" containsNumber="1" containsInteger="1" minValue="60" maxValue="210"/>
    </cacheField>
    <cacheField name="Revenue ($)" numFmtId="0">
      <sharedItems containsSemiMixedTypes="0" containsString="0" containsNumber="1" containsInteger="1" minValue="12000" maxValue="32500"/>
    </cacheField>
    <cacheField name="Cost ($)" numFmtId="0">
      <sharedItems containsSemiMixedTypes="0" containsString="0" containsNumber="1" containsInteger="1" minValue="8000" maxValue="21000"/>
    </cacheField>
    <cacheField name="Profit ($)" numFmtId="0">
      <sharedItems containsSemiMixedTypes="0" containsString="0" containsNumber="1" containsInteger="1" minValue="4000" maxValue="11500"/>
    </cacheField>
    <cacheField name="Month" numFmtId="0">
      <sharedItems count="5">
        <s v="Jan"/>
        <s v="Feb"/>
        <s v="Mar"/>
        <s v="Apr"/>
        <s v="May"/>
      </sharedItems>
    </cacheField>
  </cacheFields>
  <extLst>
    <ext xmlns:x14="http://schemas.microsoft.com/office/spreadsheetml/2009/9/main" uri="{725AE2AE-9491-48be-B2B4-4EB974FC3084}">
      <x14:pivotCacheDefinition pivotCacheId="1198975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P001"/>
    <x v="0"/>
    <x v="0"/>
    <x v="0"/>
    <x v="0"/>
    <n v="120"/>
    <n v="12000"/>
    <n v="8000"/>
    <n v="4000"/>
    <x v="0"/>
  </r>
  <r>
    <s v="P002"/>
    <x v="1"/>
    <x v="1"/>
    <x v="1"/>
    <x v="1"/>
    <n v="80"/>
    <n v="24000"/>
    <n v="15000"/>
    <n v="9000"/>
    <x v="0"/>
  </r>
  <r>
    <s v="P003"/>
    <x v="2"/>
    <x v="0"/>
    <x v="2"/>
    <x v="2"/>
    <n v="150"/>
    <n v="18000"/>
    <n v="12000"/>
    <n v="6000"/>
    <x v="0"/>
  </r>
  <r>
    <s v="P004"/>
    <x v="3"/>
    <x v="1"/>
    <x v="3"/>
    <x v="3"/>
    <n v="60"/>
    <n v="30000"/>
    <n v="20000"/>
    <n v="10000"/>
    <x v="0"/>
  </r>
  <r>
    <s v="P005"/>
    <x v="4"/>
    <x v="0"/>
    <x v="0"/>
    <x v="4"/>
    <n v="200"/>
    <n v="20000"/>
    <n v="14000"/>
    <n v="6000"/>
    <x v="1"/>
  </r>
  <r>
    <s v="P006"/>
    <x v="5"/>
    <x v="1"/>
    <x v="1"/>
    <x v="5"/>
    <n v="90"/>
    <n v="27000"/>
    <n v="18000"/>
    <n v="9000"/>
    <x v="1"/>
  </r>
  <r>
    <s v="P007"/>
    <x v="6"/>
    <x v="0"/>
    <x v="2"/>
    <x v="6"/>
    <n v="170"/>
    <n v="17000"/>
    <n v="11000"/>
    <n v="6000"/>
    <x v="1"/>
  </r>
  <r>
    <s v="P008"/>
    <x v="7"/>
    <x v="1"/>
    <x v="3"/>
    <x v="7"/>
    <n v="75"/>
    <n v="22500"/>
    <n v="15000"/>
    <n v="7500"/>
    <x v="1"/>
  </r>
  <r>
    <s v="P009"/>
    <x v="8"/>
    <x v="0"/>
    <x v="0"/>
    <x v="8"/>
    <n v="140"/>
    <n v="14000"/>
    <n v="9000"/>
    <n v="5000"/>
    <x v="2"/>
  </r>
  <r>
    <s v="P010"/>
    <x v="9"/>
    <x v="1"/>
    <x v="1"/>
    <x v="9"/>
    <n v="85"/>
    <n v="25500"/>
    <n v="17000"/>
    <n v="8500"/>
    <x v="2"/>
  </r>
  <r>
    <s v="P011"/>
    <x v="0"/>
    <x v="0"/>
    <x v="2"/>
    <x v="10"/>
    <n v="130"/>
    <n v="13000"/>
    <n v="9000"/>
    <n v="4000"/>
    <x v="2"/>
  </r>
  <r>
    <s v="P012"/>
    <x v="1"/>
    <x v="1"/>
    <x v="3"/>
    <x v="11"/>
    <n v="70"/>
    <n v="21000"/>
    <n v="14000"/>
    <n v="7000"/>
    <x v="2"/>
  </r>
  <r>
    <s v="P013"/>
    <x v="2"/>
    <x v="0"/>
    <x v="0"/>
    <x v="12"/>
    <n v="160"/>
    <n v="19200"/>
    <n v="12800"/>
    <n v="6400"/>
    <x v="3"/>
  </r>
  <r>
    <s v="P014"/>
    <x v="3"/>
    <x v="1"/>
    <x v="1"/>
    <x v="13"/>
    <n v="65"/>
    <n v="32500"/>
    <n v="21000"/>
    <n v="11500"/>
    <x v="3"/>
  </r>
  <r>
    <s v="P015"/>
    <x v="4"/>
    <x v="0"/>
    <x v="2"/>
    <x v="14"/>
    <n v="210"/>
    <n v="21000"/>
    <n v="14500"/>
    <n v="6500"/>
    <x v="3"/>
  </r>
  <r>
    <s v="P016"/>
    <x v="5"/>
    <x v="1"/>
    <x v="3"/>
    <x v="15"/>
    <n v="95"/>
    <n v="28500"/>
    <n v="19000"/>
    <n v="9500"/>
    <x v="3"/>
  </r>
  <r>
    <s v="P017"/>
    <x v="6"/>
    <x v="0"/>
    <x v="0"/>
    <x v="16"/>
    <n v="180"/>
    <n v="18000"/>
    <n v="12000"/>
    <n v="6000"/>
    <x v="4"/>
  </r>
  <r>
    <s v="P018"/>
    <x v="7"/>
    <x v="1"/>
    <x v="1"/>
    <x v="17"/>
    <n v="78"/>
    <n v="23400"/>
    <n v="15600"/>
    <n v="7800"/>
    <x v="4"/>
  </r>
  <r>
    <s v="P019"/>
    <x v="8"/>
    <x v="0"/>
    <x v="2"/>
    <x v="18"/>
    <n v="150"/>
    <n v="15000"/>
    <n v="10000"/>
    <n v="5000"/>
    <x v="4"/>
  </r>
  <r>
    <s v="P020"/>
    <x v="9"/>
    <x v="1"/>
    <x v="3"/>
    <x v="19"/>
    <n v="88"/>
    <n v="26400"/>
    <n v="17600"/>
    <n v="88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AADC57-27DA-4340-BA82-14FBF14EAE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69:S80" firstHeaderRow="0" firstDataRow="1" firstDataCol="1"/>
  <pivotFields count="10">
    <pivotField showAll="0"/>
    <pivotField axis="axisRow" showAll="0">
      <items count="11">
        <item x="1"/>
        <item x="6"/>
        <item x="9"/>
        <item x="5"/>
        <item x="2"/>
        <item x="3"/>
        <item x="7"/>
        <item x="0"/>
        <item x="4"/>
        <item x="8"/>
        <item t="default"/>
      </items>
    </pivotField>
    <pivotField showAll="0">
      <items count="3">
        <item x="0"/>
        <item x="1"/>
        <item t="default"/>
      </items>
    </pivotField>
    <pivotField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dataField="1" showAll="0"/>
    <pivotField showAll="0">
      <items count="6">
        <item x="0"/>
        <item x="1"/>
        <item x="2"/>
        <item x="3"/>
        <item x="4"/>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Total Profit" fld="8" baseField="0" baseItem="0"/>
    <dataField name="Profit by %" fld="8" showDataAs="percentOfTotal" baseField="1" baseItem="1" numFmtId="10"/>
  </dataFields>
  <formats count="8">
    <format dxfId="82">
      <pivotArea type="all" dataOnly="0" outline="0" fieldPosition="0"/>
    </format>
    <format dxfId="83">
      <pivotArea outline="0" collapsedLevelsAreSubtotals="1" fieldPosition="0"/>
    </format>
    <format dxfId="84">
      <pivotArea field="1" type="button" dataOnly="0" labelOnly="1" outline="0" axis="axisRow" fieldPosition="0"/>
    </format>
    <format dxfId="85">
      <pivotArea dataOnly="0" labelOnly="1" fieldPosition="0">
        <references count="1">
          <reference field="1" count="0"/>
        </references>
      </pivotArea>
    </format>
    <format dxfId="86">
      <pivotArea dataOnly="0" labelOnly="1" grandRow="1" outline="0" fieldPosition="0"/>
    </format>
    <format dxfId="87">
      <pivotArea dataOnly="0" labelOnly="1" outline="0" fieldPosition="0">
        <references count="1">
          <reference field="4294967294" count="2">
            <x v="0"/>
            <x v="1"/>
          </reference>
        </references>
      </pivotArea>
    </format>
    <format dxfId="88">
      <pivotArea field="1" type="button" dataOnly="0" labelOnly="1" outline="0" axis="axisRow" fieldPosition="0"/>
    </format>
    <format dxfId="89">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1" count="10">
              <x v="0"/>
              <x v="1"/>
              <x v="2"/>
              <x v="3"/>
              <x v="4"/>
              <x v="5"/>
              <x v="6"/>
              <x v="7"/>
              <x v="8"/>
              <x v="9"/>
            </reference>
          </references>
        </pivotArea>
      </pivotAreas>
    </conditionalFormat>
  </conditionalFormat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90B9B-F0D3-418E-A827-E7FCC1D5161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64:N67" firstHeaderRow="1" firstDataRow="1" firstDataCol="1"/>
  <pivotFields count="10">
    <pivotField showAll="0"/>
    <pivotField showAll="0"/>
    <pivotField axis="axisRow" showAll="0">
      <items count="3">
        <item x="0"/>
        <item x="1"/>
        <item t="default"/>
      </items>
    </pivotField>
    <pivotField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dataField="1" showAll="0"/>
    <pivotField showAll="0">
      <items count="6">
        <item x="0"/>
        <item x="1"/>
        <item x="2"/>
        <item x="3"/>
        <item x="4"/>
        <item t="default"/>
      </items>
    </pivotField>
  </pivotFields>
  <rowFields count="1">
    <field x="2"/>
  </rowFields>
  <rowItems count="3">
    <i>
      <x/>
    </i>
    <i>
      <x v="1"/>
    </i>
    <i t="grand">
      <x/>
    </i>
  </rowItems>
  <colItems count="1">
    <i/>
  </colItems>
  <dataFields count="1">
    <dataField name="Sum of Profi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A8E0E-0549-4F45-86AC-D9F0E90A8E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8" firstHeaderRow="1" firstDataRow="1" firstDataCol="1"/>
  <pivotFields count="10">
    <pivotField showAll="0"/>
    <pivotField showAll="0"/>
    <pivotField showAll="0">
      <items count="3">
        <item x="0"/>
        <item x="1"/>
        <item t="default"/>
      </items>
    </pivotField>
    <pivotField showAll="0">
      <items count="5">
        <item x="1"/>
        <item x="0"/>
        <item x="2"/>
        <item x="3"/>
        <item t="default"/>
      </items>
    </pivotField>
    <pivotField showAll="0"/>
    <pivotField showAll="0"/>
    <pivotField showAll="0"/>
    <pivotField showAll="0"/>
    <pivotField dataField="1" showAll="0"/>
    <pivotField axis="axisRow"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Profit ($)" fld="8" baseField="0" baseItem="0"/>
  </dataFields>
  <chartFormats count="2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9" count="1" selected="0">
            <x v="0"/>
          </reference>
        </references>
      </pivotArea>
    </chartFormat>
    <chartFormat chart="14" format="27">
      <pivotArea type="data" outline="0" fieldPosition="0">
        <references count="2">
          <reference field="4294967294" count="1" selected="0">
            <x v="0"/>
          </reference>
          <reference field="9" count="1" selected="0">
            <x v="1"/>
          </reference>
        </references>
      </pivotArea>
    </chartFormat>
    <chartFormat chart="14" format="28">
      <pivotArea type="data" outline="0" fieldPosition="0">
        <references count="2">
          <reference field="4294967294" count="1" selected="0">
            <x v="0"/>
          </reference>
          <reference field="9" count="1" selected="0">
            <x v="2"/>
          </reference>
        </references>
      </pivotArea>
    </chartFormat>
    <chartFormat chart="14" format="29">
      <pivotArea type="data" outline="0" fieldPosition="0">
        <references count="2">
          <reference field="4294967294" count="1" selected="0">
            <x v="0"/>
          </reference>
          <reference field="9" count="1" selected="0">
            <x v="3"/>
          </reference>
        </references>
      </pivotArea>
    </chartFormat>
    <chartFormat chart="14" format="30">
      <pivotArea type="data" outline="0" fieldPosition="0">
        <references count="2">
          <reference field="4294967294" count="1" selected="0">
            <x v="0"/>
          </reference>
          <reference field="9" count="1" selected="0">
            <x v="4"/>
          </reference>
        </references>
      </pivotArea>
    </chartFormat>
    <chartFormat chart="16" format="37" series="1">
      <pivotArea type="data" outline="0" fieldPosition="0">
        <references count="1">
          <reference field="4294967294" count="1" selected="0">
            <x v="0"/>
          </reference>
        </references>
      </pivotArea>
    </chartFormat>
    <chartFormat chart="16" format="38">
      <pivotArea type="data" outline="0" fieldPosition="0">
        <references count="2">
          <reference field="4294967294" count="1" selected="0">
            <x v="0"/>
          </reference>
          <reference field="9" count="1" selected="0">
            <x v="0"/>
          </reference>
        </references>
      </pivotArea>
    </chartFormat>
    <chartFormat chart="16" format="39">
      <pivotArea type="data" outline="0" fieldPosition="0">
        <references count="2">
          <reference field="4294967294" count="1" selected="0">
            <x v="0"/>
          </reference>
          <reference field="9" count="1" selected="0">
            <x v="1"/>
          </reference>
        </references>
      </pivotArea>
    </chartFormat>
    <chartFormat chart="16" format="40">
      <pivotArea type="data" outline="0" fieldPosition="0">
        <references count="2">
          <reference field="4294967294" count="1" selected="0">
            <x v="0"/>
          </reference>
          <reference field="9" count="1" selected="0">
            <x v="2"/>
          </reference>
        </references>
      </pivotArea>
    </chartFormat>
    <chartFormat chart="16" format="41">
      <pivotArea type="data" outline="0" fieldPosition="0">
        <references count="2">
          <reference field="4294967294" count="1" selected="0">
            <x v="0"/>
          </reference>
          <reference field="9" count="1" selected="0">
            <x v="3"/>
          </reference>
        </references>
      </pivotArea>
    </chartFormat>
    <chartFormat chart="16" format="42">
      <pivotArea type="data" outline="0" fieldPosition="0">
        <references count="2">
          <reference field="4294967294" count="1" selected="0">
            <x v="0"/>
          </reference>
          <reference field="9" count="1" selected="0">
            <x v="4"/>
          </reference>
        </references>
      </pivotArea>
    </chartFormat>
    <chartFormat chart="17" format="43" series="1">
      <pivotArea type="data" outline="0" fieldPosition="0">
        <references count="1">
          <reference field="4294967294" count="1" selected="0">
            <x v="0"/>
          </reference>
        </references>
      </pivotArea>
    </chartFormat>
    <chartFormat chart="17" format="4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E28B40-2D08-4043-93AD-FCB7B01EF3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6" firstHeaderRow="1" firstDataRow="1" firstDataCol="1"/>
  <pivotFields count="10">
    <pivotField showAll="0"/>
    <pivotField showAll="0"/>
    <pivotField axis="axisRow" showAll="0">
      <items count="3">
        <item x="0"/>
        <item x="1"/>
        <item t="default"/>
      </items>
    </pivotField>
    <pivotField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dataField="1" showAll="0"/>
    <pivotField showAll="0">
      <items count="6">
        <item x="0"/>
        <item x="1"/>
        <item x="2"/>
        <item x="3"/>
        <item x="4"/>
        <item t="default"/>
      </items>
    </pivotField>
  </pivotFields>
  <rowFields count="1">
    <field x="2"/>
  </rowFields>
  <rowItems count="3">
    <i>
      <x/>
    </i>
    <i>
      <x v="1"/>
    </i>
    <i t="grand">
      <x/>
    </i>
  </rowItems>
  <colItems count="1">
    <i/>
  </colItems>
  <dataFields count="1">
    <dataField name="Sum of Profit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B02D06-2E33-4C88-A0B1-0D8EC04A9C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57:L60" firstHeaderRow="1" firstDataRow="1" firstDataCol="1"/>
  <pivotFields count="10">
    <pivotField showAll="0"/>
    <pivotField showAll="0"/>
    <pivotField axis="axisRow" showAll="0">
      <items count="3">
        <item x="0"/>
        <item x="1"/>
        <item t="default"/>
      </items>
    </pivotField>
    <pivotField dataField="1"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items count="6">
        <item x="0"/>
        <item x="1"/>
        <item x="2"/>
        <item x="3"/>
        <item x="4"/>
        <item t="default"/>
      </items>
    </pivotField>
  </pivotFields>
  <rowFields count="1">
    <field x="2"/>
  </rowFields>
  <rowItems count="3">
    <i>
      <x/>
    </i>
    <i>
      <x v="1"/>
    </i>
    <i t="grand">
      <x/>
    </i>
  </rowItems>
  <colItems count="1">
    <i/>
  </colItems>
  <dataFields count="1">
    <dataField name="Count of Region" fld="3" subtotal="count" baseField="0" baseItem="0"/>
  </dataFields>
  <chartFormats count="3">
    <chartFormat chart="7" format="1"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0C34DE-F453-4E47-B0BE-8767A5A4B0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V18:W29" firstHeaderRow="1" firstDataRow="1" firstDataCol="1"/>
  <pivotFields count="10">
    <pivotField showAll="0"/>
    <pivotField axis="axisRow" showAll="0">
      <items count="11">
        <item x="1"/>
        <item x="6"/>
        <item x="9"/>
        <item x="5"/>
        <item x="2"/>
        <item x="3"/>
        <item x="7"/>
        <item x="0"/>
        <item x="4"/>
        <item x="8"/>
        <item t="default"/>
      </items>
    </pivotField>
    <pivotField showAll="0">
      <items count="3">
        <item x="0"/>
        <item x="1"/>
        <item t="default"/>
      </items>
    </pivotField>
    <pivotField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pivotField showAll="0"/>
    <pivotField showAll="0">
      <items count="6">
        <item x="0"/>
        <item x="1"/>
        <item x="2"/>
        <item x="3"/>
        <item x="4"/>
        <item t="default"/>
      </items>
    </pivotField>
  </pivotFields>
  <rowFields count="1">
    <field x="1"/>
  </rowFields>
  <rowItems count="11">
    <i>
      <x/>
    </i>
    <i>
      <x v="1"/>
    </i>
    <i>
      <x v="2"/>
    </i>
    <i>
      <x v="3"/>
    </i>
    <i>
      <x v="4"/>
    </i>
    <i>
      <x v="5"/>
    </i>
    <i>
      <x v="6"/>
    </i>
    <i>
      <x v="7"/>
    </i>
    <i>
      <x v="8"/>
    </i>
    <i>
      <x v="9"/>
    </i>
    <i t="grand">
      <x/>
    </i>
  </rowItems>
  <colItems count="1">
    <i/>
  </colItems>
  <dataFields count="1">
    <dataField name="Sum of Units Sold" fld="5" baseField="1" baseItem="4"/>
  </dataFields>
  <chartFormats count="3">
    <chartFormat chart="4"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3D8EFB-7676-4E30-A5DC-F1CC44FE71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8" firstHeaderRow="1" firstDataRow="1" firstDataCol="1"/>
  <pivotFields count="10">
    <pivotField showAll="0"/>
    <pivotField showAll="0"/>
    <pivotField showAll="0">
      <items count="3">
        <item x="0"/>
        <item x="1"/>
        <item t="default"/>
      </items>
    </pivotField>
    <pivotField axis="axisRow"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dataField="1" showAll="0"/>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Profi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4047B-983D-4668-9753-3795EE92D2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5:I41" firstHeaderRow="1" firstDataRow="1" firstDataCol="1"/>
  <pivotFields count="10">
    <pivotField showAll="0"/>
    <pivotField showAll="0"/>
    <pivotField showAll="0">
      <items count="3">
        <item x="0"/>
        <item x="1"/>
        <item t="default"/>
      </items>
    </pivotField>
    <pivotField showAll="0">
      <items count="5">
        <item x="1"/>
        <item x="0"/>
        <item x="2"/>
        <item x="3"/>
        <item t="default"/>
      </items>
    </pivotField>
    <pivotField showAll="0"/>
    <pivotField showAll="0"/>
    <pivotField showAll="0"/>
    <pivotField showAll="0"/>
    <pivotField dataField="1" showAll="0"/>
    <pivotField axis="axisRow"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Profit ($)" fld="8" baseField="9" baseItem="1"/>
  </dataFields>
  <chartFormats count="1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9" count="1" selected="0">
            <x v="0"/>
          </reference>
        </references>
      </pivotArea>
    </chartFormat>
    <chartFormat chart="5" format="15">
      <pivotArea type="data" outline="0" fieldPosition="0">
        <references count="2">
          <reference field="4294967294" count="1" selected="0">
            <x v="0"/>
          </reference>
          <reference field="9" count="1" selected="0">
            <x v="1"/>
          </reference>
        </references>
      </pivotArea>
    </chartFormat>
    <chartFormat chart="5" format="16">
      <pivotArea type="data" outline="0" fieldPosition="0">
        <references count="2">
          <reference field="4294967294" count="1" selected="0">
            <x v="0"/>
          </reference>
          <reference field="9" count="1" selected="0">
            <x v="2"/>
          </reference>
        </references>
      </pivotArea>
    </chartFormat>
    <chartFormat chart="5" format="17">
      <pivotArea type="data" outline="0" fieldPosition="0">
        <references count="2">
          <reference field="4294967294" count="1" selected="0">
            <x v="0"/>
          </reference>
          <reference field="9" count="1" selected="0">
            <x v="3"/>
          </reference>
        </references>
      </pivotArea>
    </chartFormat>
    <chartFormat chart="5" format="18">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81E770-D09A-4146-B67D-071452FAE0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3:L8" firstHeaderRow="1" firstDataRow="1" firstDataCol="1"/>
  <pivotFields count="10">
    <pivotField showAll="0"/>
    <pivotField showAll="0"/>
    <pivotField showAll="0">
      <items count="3">
        <item x="0"/>
        <item x="1"/>
        <item t="default"/>
      </items>
    </pivotField>
    <pivotField axis="axisRow" showAll="0">
      <items count="5">
        <item x="1"/>
        <item x="0"/>
        <item x="2"/>
        <item x="3"/>
        <item t="default"/>
      </items>
    </pivotField>
    <pivotField showAll="0">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pivotField showAll="0"/>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Units Sold" fld="5"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3" count="1" selected="0">
            <x v="0"/>
          </reference>
        </references>
      </pivotArea>
    </chartFormat>
    <chartFormat chart="12" format="22">
      <pivotArea type="data" outline="0" fieldPosition="0">
        <references count="2">
          <reference field="4294967294" count="1" selected="0">
            <x v="0"/>
          </reference>
          <reference field="3" count="1" selected="0">
            <x v="1"/>
          </reference>
        </references>
      </pivotArea>
    </chartFormat>
    <chartFormat chart="12" format="23">
      <pivotArea type="data" outline="0" fieldPosition="0">
        <references count="2">
          <reference field="4294967294" count="1" selected="0">
            <x v="0"/>
          </reference>
          <reference field="3" count="1" selected="0">
            <x v="2"/>
          </reference>
        </references>
      </pivotArea>
    </chartFormat>
    <chartFormat chart="12" format="24">
      <pivotArea type="data" outline="0" fieldPosition="0">
        <references count="2">
          <reference field="4294967294" count="1" selected="0">
            <x v="0"/>
          </reference>
          <reference field="3" count="1" selected="0">
            <x v="3"/>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3" count="1" selected="0">
            <x v="0"/>
          </reference>
        </references>
      </pivotArea>
    </chartFormat>
    <chartFormat chart="14" format="22">
      <pivotArea type="data" outline="0" fieldPosition="0">
        <references count="2">
          <reference field="4294967294" count="1" selected="0">
            <x v="0"/>
          </reference>
          <reference field="3" count="1" selected="0">
            <x v="1"/>
          </reference>
        </references>
      </pivotArea>
    </chartFormat>
    <chartFormat chart="14" format="23">
      <pivotArea type="data" outline="0" fieldPosition="0">
        <references count="2">
          <reference field="4294967294" count="1" selected="0">
            <x v="0"/>
          </reference>
          <reference field="3" count="1" selected="0">
            <x v="2"/>
          </reference>
        </references>
      </pivotArea>
    </chartFormat>
    <chartFormat chart="14"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C1AE23-8DCF-46CA-9BD2-2AFAE60AA92F}" sourceName="Region">
  <pivotTables>
    <pivotTable tabId="2" name="PivotTable4"/>
    <pivotTable tabId="2" name="PivotTable7"/>
    <pivotTable tabId="2" name="PivotTable5"/>
    <pivotTable tabId="2" name="PivotTable1"/>
    <pivotTable tabId="2" name="PivotTable11"/>
    <pivotTable tabId="2" name="PivotTable2"/>
    <pivotTable tabId="2" name="PivotTable3"/>
    <pivotTable tabId="2" name="PivotTable6"/>
    <pivotTable tabId="2" name="PivotTable8"/>
  </pivotTables>
  <data>
    <tabular pivotCacheId="119897514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45E472F-D66B-405F-A620-A604BFF6FA89}" sourceName="Month">
  <pivotTables>
    <pivotTable tabId="2" name="PivotTable1"/>
    <pivotTable tabId="2" name="PivotTable2"/>
    <pivotTable tabId="2" name="PivotTable3"/>
    <pivotTable tabId="2" name="PivotTable6"/>
    <pivotTable tabId="2" name="PivotTable8"/>
    <pivotTable tabId="2" name="PivotTable11"/>
    <pivotTable tabId="2" name="PivotTable4"/>
    <pivotTable tabId="2" name="PivotTable5"/>
    <pivotTable tabId="2" name="PivotTable7"/>
  </pivotTables>
  <data>
    <tabular pivotCacheId="1198975148">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26BFDA-0B72-4E77-858B-7AB29E1C7651}" sourceName="Category">
  <pivotTables>
    <pivotTable tabId="2" name="PivotTable2"/>
    <pivotTable tabId="2" name="PivotTable1"/>
    <pivotTable tabId="2" name="PivotTable3"/>
    <pivotTable tabId="2" name="PivotTable4"/>
    <pivotTable tabId="2" name="PivotTable6"/>
    <pivotTable tabId="2" name="PivotTable5"/>
    <pivotTable tabId="2" name="PivotTable7"/>
    <pivotTable tabId="2" name="PivotTable8"/>
    <pivotTable tabId="2" name="PivotTable11"/>
  </pivotTables>
  <data>
    <tabular pivotCacheId="11989751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36834C-923B-4A97-90C2-41B47B5F6B3B}" cache="Slicer_Region" caption="Region" style="SlicerStyleLight2" rowHeight="247650"/>
  <slicer name="Month" xr10:uid="{7ED703D6-FE95-4E58-84CE-50FAA10A30C4}" cache="Slicer_Month" caption="Month" style="SlicerStyleLight2" rowHeight="247650"/>
  <slicer name="Category" xr10:uid="{DB474874-6B7E-4770-BE4B-2DFF9D211B70}" cache="Slicer_Category" caption="Category" columnCount="2"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355C0CD-0652-4ACD-BD48-051C5780F7DF}" cache="Slicer_Region" caption="Region" style="custom" rowHeight="247650"/>
  <slicer name="Month 2" xr10:uid="{5660730D-EBB8-44AB-B485-7D4E3BA63077}" cache="Slicer_Month" caption="Month" style="custom"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BAF2B03B-BDE4-497A-9BDB-45E966EA2E76}" cache="Slicer_Region" caption="Region" style="custom" rowHeight="247650"/>
  <slicer name="Month 3" xr10:uid="{4DE3CDC6-919D-47C3-BF87-FFB2C135F944}" cache="Slicer_Month" caption="Month" style="custom" rowHeight="247650"/>
</slicer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0CDF-21D4-4E79-B08F-9837B7BC452D}">
  <dimension ref="A1:J21"/>
  <sheetViews>
    <sheetView showGridLines="0" workbookViewId="0"/>
  </sheetViews>
  <sheetFormatPr defaultRowHeight="14.4"/>
  <cols>
    <col min="1" max="1" width="11.5546875" customWidth="1"/>
    <col min="2" max="2" width="14.77734375" customWidth="1"/>
    <col min="3" max="3" width="10.77734375" bestFit="1" customWidth="1"/>
    <col min="4" max="4" width="8.44140625" customWidth="1"/>
    <col min="5" max="5" width="13.6640625" bestFit="1" customWidth="1"/>
    <col min="6" max="6" width="11.33203125" customWidth="1"/>
    <col min="7" max="7" width="12.5546875" customWidth="1"/>
    <col min="8" max="8" width="9.33203125" customWidth="1"/>
    <col min="9" max="9" width="10.109375" customWidth="1"/>
    <col min="10" max="10" width="8" customWidth="1"/>
  </cols>
  <sheetData>
    <row r="1" spans="1:10">
      <c r="A1" s="4" t="s">
        <v>0</v>
      </c>
      <c r="B1" s="4" t="s">
        <v>1</v>
      </c>
      <c r="C1" s="4" t="s">
        <v>2</v>
      </c>
      <c r="D1" s="4" t="s">
        <v>3</v>
      </c>
      <c r="E1" s="4" t="s">
        <v>4</v>
      </c>
      <c r="F1" s="4" t="s">
        <v>5</v>
      </c>
      <c r="G1" s="4" t="s">
        <v>6</v>
      </c>
      <c r="H1" s="4" t="s">
        <v>7</v>
      </c>
      <c r="I1" s="4" t="s">
        <v>8</v>
      </c>
      <c r="J1" s="5" t="s">
        <v>9</v>
      </c>
    </row>
    <row r="2" spans="1:10">
      <c r="A2" s="6" t="s">
        <v>10</v>
      </c>
      <c r="B2" s="6" t="s">
        <v>11</v>
      </c>
      <c r="C2" s="6" t="s">
        <v>12</v>
      </c>
      <c r="D2" s="6" t="s">
        <v>13</v>
      </c>
      <c r="E2" s="6" t="s">
        <v>14</v>
      </c>
      <c r="F2" s="6">
        <v>120</v>
      </c>
      <c r="G2" s="6">
        <v>12000</v>
      </c>
      <c r="H2" s="6">
        <v>8000</v>
      </c>
      <c r="I2" s="6">
        <v>4000</v>
      </c>
      <c r="J2" s="7" t="s">
        <v>15</v>
      </c>
    </row>
    <row r="3" spans="1:10">
      <c r="A3" s="8" t="s">
        <v>16</v>
      </c>
      <c r="B3" s="8" t="s">
        <v>17</v>
      </c>
      <c r="C3" s="8" t="s">
        <v>18</v>
      </c>
      <c r="D3" s="8" t="s">
        <v>19</v>
      </c>
      <c r="E3" s="8" t="s">
        <v>20</v>
      </c>
      <c r="F3" s="8">
        <v>80</v>
      </c>
      <c r="G3" s="8">
        <v>24000</v>
      </c>
      <c r="H3" s="8">
        <v>15000</v>
      </c>
      <c r="I3" s="8">
        <v>9000</v>
      </c>
      <c r="J3" s="9" t="s">
        <v>15</v>
      </c>
    </row>
    <row r="4" spans="1:10">
      <c r="A4" s="6" t="s">
        <v>21</v>
      </c>
      <c r="B4" s="6" t="s">
        <v>22</v>
      </c>
      <c r="C4" s="6" t="s">
        <v>12</v>
      </c>
      <c r="D4" s="6" t="s">
        <v>23</v>
      </c>
      <c r="E4" s="6" t="s">
        <v>24</v>
      </c>
      <c r="F4" s="6">
        <v>150</v>
      </c>
      <c r="G4" s="6">
        <v>18000</v>
      </c>
      <c r="H4" s="6">
        <v>12000</v>
      </c>
      <c r="I4" s="6">
        <v>6000</v>
      </c>
      <c r="J4" s="7" t="s">
        <v>15</v>
      </c>
    </row>
    <row r="5" spans="1:10">
      <c r="A5" s="8" t="s">
        <v>25</v>
      </c>
      <c r="B5" s="8" t="s">
        <v>26</v>
      </c>
      <c r="C5" s="8" t="s">
        <v>18</v>
      </c>
      <c r="D5" s="8" t="s">
        <v>27</v>
      </c>
      <c r="E5" s="8" t="s">
        <v>28</v>
      </c>
      <c r="F5" s="8">
        <v>60</v>
      </c>
      <c r="G5" s="8">
        <v>30000</v>
      </c>
      <c r="H5" s="8">
        <v>20000</v>
      </c>
      <c r="I5" s="8">
        <v>10000</v>
      </c>
      <c r="J5" s="9" t="s">
        <v>15</v>
      </c>
    </row>
    <row r="6" spans="1:10">
      <c r="A6" s="6" t="s">
        <v>29</v>
      </c>
      <c r="B6" s="6" t="s">
        <v>30</v>
      </c>
      <c r="C6" s="6" t="s">
        <v>12</v>
      </c>
      <c r="D6" s="6" t="s">
        <v>13</v>
      </c>
      <c r="E6" s="6" t="s">
        <v>31</v>
      </c>
      <c r="F6" s="6">
        <v>200</v>
      </c>
      <c r="G6" s="6">
        <v>20000</v>
      </c>
      <c r="H6" s="6">
        <v>14000</v>
      </c>
      <c r="I6" s="6">
        <v>6000</v>
      </c>
      <c r="J6" s="7" t="s">
        <v>32</v>
      </c>
    </row>
    <row r="7" spans="1:10">
      <c r="A7" s="8" t="s">
        <v>33</v>
      </c>
      <c r="B7" s="8" t="s">
        <v>34</v>
      </c>
      <c r="C7" s="8" t="s">
        <v>18</v>
      </c>
      <c r="D7" s="8" t="s">
        <v>19</v>
      </c>
      <c r="E7" s="8" t="s">
        <v>35</v>
      </c>
      <c r="F7" s="8">
        <v>90</v>
      </c>
      <c r="G7" s="8">
        <v>27000</v>
      </c>
      <c r="H7" s="8">
        <v>18000</v>
      </c>
      <c r="I7" s="8">
        <v>9000</v>
      </c>
      <c r="J7" s="9" t="s">
        <v>32</v>
      </c>
    </row>
    <row r="8" spans="1:10">
      <c r="A8" s="6" t="s">
        <v>36</v>
      </c>
      <c r="B8" s="6" t="s">
        <v>37</v>
      </c>
      <c r="C8" s="6" t="s">
        <v>12</v>
      </c>
      <c r="D8" s="6" t="s">
        <v>23</v>
      </c>
      <c r="E8" s="6" t="s">
        <v>38</v>
      </c>
      <c r="F8" s="6">
        <v>170</v>
      </c>
      <c r="G8" s="6">
        <v>17000</v>
      </c>
      <c r="H8" s="6">
        <v>11000</v>
      </c>
      <c r="I8" s="6">
        <v>6000</v>
      </c>
      <c r="J8" s="7" t="s">
        <v>32</v>
      </c>
    </row>
    <row r="9" spans="1:10">
      <c r="A9" s="8" t="s">
        <v>39</v>
      </c>
      <c r="B9" s="8" t="s">
        <v>40</v>
      </c>
      <c r="C9" s="8" t="s">
        <v>18</v>
      </c>
      <c r="D9" s="8" t="s">
        <v>27</v>
      </c>
      <c r="E9" s="8" t="s">
        <v>41</v>
      </c>
      <c r="F9" s="8">
        <v>75</v>
      </c>
      <c r="G9" s="8">
        <v>22500</v>
      </c>
      <c r="H9" s="8">
        <v>15000</v>
      </c>
      <c r="I9" s="8">
        <v>7500</v>
      </c>
      <c r="J9" s="9" t="s">
        <v>32</v>
      </c>
    </row>
    <row r="10" spans="1:10">
      <c r="A10" s="6" t="s">
        <v>42</v>
      </c>
      <c r="B10" s="6" t="s">
        <v>43</v>
      </c>
      <c r="C10" s="6" t="s">
        <v>12</v>
      </c>
      <c r="D10" s="6" t="s">
        <v>13</v>
      </c>
      <c r="E10" s="6" t="s">
        <v>44</v>
      </c>
      <c r="F10" s="6">
        <v>140</v>
      </c>
      <c r="G10" s="6">
        <v>14000</v>
      </c>
      <c r="H10" s="6">
        <v>9000</v>
      </c>
      <c r="I10" s="6">
        <v>5000</v>
      </c>
      <c r="J10" s="7" t="s">
        <v>45</v>
      </c>
    </row>
    <row r="11" spans="1:10">
      <c r="A11" s="8" t="s">
        <v>46</v>
      </c>
      <c r="B11" s="8" t="s">
        <v>47</v>
      </c>
      <c r="C11" s="8" t="s">
        <v>18</v>
      </c>
      <c r="D11" s="8" t="s">
        <v>19</v>
      </c>
      <c r="E11" s="8" t="s">
        <v>48</v>
      </c>
      <c r="F11" s="8">
        <v>85</v>
      </c>
      <c r="G11" s="8">
        <v>25500</v>
      </c>
      <c r="H11" s="8">
        <v>17000</v>
      </c>
      <c r="I11" s="8">
        <v>8500</v>
      </c>
      <c r="J11" s="9" t="s">
        <v>45</v>
      </c>
    </row>
    <row r="12" spans="1:10">
      <c r="A12" s="6" t="s">
        <v>49</v>
      </c>
      <c r="B12" s="6" t="s">
        <v>11</v>
      </c>
      <c r="C12" s="6" t="s">
        <v>12</v>
      </c>
      <c r="D12" s="6" t="s">
        <v>23</v>
      </c>
      <c r="E12" s="6" t="s">
        <v>50</v>
      </c>
      <c r="F12" s="6">
        <v>130</v>
      </c>
      <c r="G12" s="6">
        <v>13000</v>
      </c>
      <c r="H12" s="6">
        <v>9000</v>
      </c>
      <c r="I12" s="6">
        <v>4000</v>
      </c>
      <c r="J12" s="7" t="s">
        <v>45</v>
      </c>
    </row>
    <row r="13" spans="1:10">
      <c r="A13" s="8" t="s">
        <v>51</v>
      </c>
      <c r="B13" s="8" t="s">
        <v>17</v>
      </c>
      <c r="C13" s="8" t="s">
        <v>18</v>
      </c>
      <c r="D13" s="8" t="s">
        <v>27</v>
      </c>
      <c r="E13" s="8" t="s">
        <v>52</v>
      </c>
      <c r="F13" s="8">
        <v>70</v>
      </c>
      <c r="G13" s="8">
        <v>21000</v>
      </c>
      <c r="H13" s="8">
        <v>14000</v>
      </c>
      <c r="I13" s="8">
        <v>7000</v>
      </c>
      <c r="J13" s="9" t="s">
        <v>45</v>
      </c>
    </row>
    <row r="14" spans="1:10">
      <c r="A14" s="6" t="s">
        <v>53</v>
      </c>
      <c r="B14" s="6" t="s">
        <v>22</v>
      </c>
      <c r="C14" s="6" t="s">
        <v>12</v>
      </c>
      <c r="D14" s="6" t="s">
        <v>13</v>
      </c>
      <c r="E14" s="6" t="s">
        <v>54</v>
      </c>
      <c r="F14" s="6">
        <v>160</v>
      </c>
      <c r="G14" s="6">
        <v>19200</v>
      </c>
      <c r="H14" s="6">
        <v>12800</v>
      </c>
      <c r="I14" s="6">
        <v>6400</v>
      </c>
      <c r="J14" s="7" t="s">
        <v>55</v>
      </c>
    </row>
    <row r="15" spans="1:10">
      <c r="A15" s="8" t="s">
        <v>56</v>
      </c>
      <c r="B15" s="8" t="s">
        <v>26</v>
      </c>
      <c r="C15" s="8" t="s">
        <v>18</v>
      </c>
      <c r="D15" s="8" t="s">
        <v>19</v>
      </c>
      <c r="E15" s="8" t="s">
        <v>57</v>
      </c>
      <c r="F15" s="8">
        <v>65</v>
      </c>
      <c r="G15" s="8">
        <v>32500</v>
      </c>
      <c r="H15" s="8">
        <v>21000</v>
      </c>
      <c r="I15" s="8">
        <v>11500</v>
      </c>
      <c r="J15" s="9" t="s">
        <v>55</v>
      </c>
    </row>
    <row r="16" spans="1:10">
      <c r="A16" s="6" t="s">
        <v>58</v>
      </c>
      <c r="B16" s="6" t="s">
        <v>30</v>
      </c>
      <c r="C16" s="6" t="s">
        <v>12</v>
      </c>
      <c r="D16" s="6" t="s">
        <v>23</v>
      </c>
      <c r="E16" s="6" t="s">
        <v>59</v>
      </c>
      <c r="F16" s="6">
        <v>210</v>
      </c>
      <c r="G16" s="6">
        <v>21000</v>
      </c>
      <c r="H16" s="6">
        <v>14500</v>
      </c>
      <c r="I16" s="6">
        <v>6500</v>
      </c>
      <c r="J16" s="7" t="s">
        <v>55</v>
      </c>
    </row>
    <row r="17" spans="1:10">
      <c r="A17" s="8" t="s">
        <v>60</v>
      </c>
      <c r="B17" s="8" t="s">
        <v>34</v>
      </c>
      <c r="C17" s="8" t="s">
        <v>18</v>
      </c>
      <c r="D17" s="8" t="s">
        <v>27</v>
      </c>
      <c r="E17" s="8" t="s">
        <v>61</v>
      </c>
      <c r="F17" s="8">
        <v>95</v>
      </c>
      <c r="G17" s="8">
        <v>28500</v>
      </c>
      <c r="H17" s="8">
        <v>19000</v>
      </c>
      <c r="I17" s="8">
        <v>9500</v>
      </c>
      <c r="J17" s="9" t="s">
        <v>55</v>
      </c>
    </row>
    <row r="18" spans="1:10">
      <c r="A18" s="6" t="s">
        <v>62</v>
      </c>
      <c r="B18" s="6" t="s">
        <v>37</v>
      </c>
      <c r="C18" s="6" t="s">
        <v>12</v>
      </c>
      <c r="D18" s="6" t="s">
        <v>13</v>
      </c>
      <c r="E18" s="6" t="s">
        <v>63</v>
      </c>
      <c r="F18" s="6">
        <v>180</v>
      </c>
      <c r="G18" s="6">
        <v>18000</v>
      </c>
      <c r="H18" s="6">
        <v>12000</v>
      </c>
      <c r="I18" s="6">
        <v>6000</v>
      </c>
      <c r="J18" s="7" t="s">
        <v>64</v>
      </c>
    </row>
    <row r="19" spans="1:10">
      <c r="A19" s="8" t="s">
        <v>65</v>
      </c>
      <c r="B19" s="8" t="s">
        <v>40</v>
      </c>
      <c r="C19" s="8" t="s">
        <v>18</v>
      </c>
      <c r="D19" s="8" t="s">
        <v>19</v>
      </c>
      <c r="E19" s="8" t="s">
        <v>66</v>
      </c>
      <c r="F19" s="8">
        <v>78</v>
      </c>
      <c r="G19" s="8">
        <v>23400</v>
      </c>
      <c r="H19" s="8">
        <v>15600</v>
      </c>
      <c r="I19" s="8">
        <v>7800</v>
      </c>
      <c r="J19" s="9" t="s">
        <v>64</v>
      </c>
    </row>
    <row r="20" spans="1:10">
      <c r="A20" s="6" t="s">
        <v>67</v>
      </c>
      <c r="B20" s="6" t="s">
        <v>43</v>
      </c>
      <c r="C20" s="6" t="s">
        <v>12</v>
      </c>
      <c r="D20" s="6" t="s">
        <v>23</v>
      </c>
      <c r="E20" s="6" t="s">
        <v>68</v>
      </c>
      <c r="F20" s="6">
        <v>150</v>
      </c>
      <c r="G20" s="6">
        <v>15000</v>
      </c>
      <c r="H20" s="6">
        <v>10000</v>
      </c>
      <c r="I20" s="6">
        <v>5000</v>
      </c>
      <c r="J20" s="7" t="s">
        <v>64</v>
      </c>
    </row>
    <row r="21" spans="1:10">
      <c r="A21" s="10" t="s">
        <v>69</v>
      </c>
      <c r="B21" s="10" t="s">
        <v>47</v>
      </c>
      <c r="C21" s="10" t="s">
        <v>18</v>
      </c>
      <c r="D21" s="10" t="s">
        <v>27</v>
      </c>
      <c r="E21" s="10" t="s">
        <v>70</v>
      </c>
      <c r="F21" s="10">
        <v>88</v>
      </c>
      <c r="G21" s="10">
        <v>26400</v>
      </c>
      <c r="H21" s="10">
        <v>17600</v>
      </c>
      <c r="I21" s="10">
        <v>8800</v>
      </c>
      <c r="J21" s="11" t="s">
        <v>64</v>
      </c>
    </row>
  </sheetData>
  <autoFilter ref="A1:J21" xr:uid="{942A0CDF-21D4-4E79-B08F-9837B7BC45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37E1-CB83-4140-973B-7FB256CC16A6}">
  <dimension ref="A2:W80"/>
  <sheetViews>
    <sheetView zoomScale="50" zoomScaleNormal="85" workbookViewId="0"/>
  </sheetViews>
  <sheetFormatPr defaultRowHeight="14.4"/>
  <cols>
    <col min="2" max="2" width="17.6640625" bestFit="1" customWidth="1"/>
    <col min="3" max="3" width="18.109375" bestFit="1" customWidth="1"/>
    <col min="4" max="4" width="15.33203125" bestFit="1" customWidth="1"/>
    <col min="5" max="5" width="17.6640625" bestFit="1" customWidth="1"/>
    <col min="6" max="6" width="18.109375" bestFit="1" customWidth="1"/>
    <col min="8" max="8" width="17.6640625" bestFit="1" customWidth="1"/>
    <col min="9" max="9" width="18.109375" bestFit="1" customWidth="1"/>
    <col min="11" max="11" width="17.6640625" bestFit="1" customWidth="1"/>
    <col min="12" max="12" width="18.5546875" bestFit="1" customWidth="1"/>
    <col min="13" max="13" width="17.6640625" bestFit="1" customWidth="1"/>
    <col min="14" max="14" width="18.109375" bestFit="1" customWidth="1"/>
    <col min="15" max="15" width="15.5546875" bestFit="1" customWidth="1"/>
    <col min="16" max="16" width="19.109375" bestFit="1" customWidth="1"/>
    <col min="17" max="17" width="22.109375" bestFit="1" customWidth="1"/>
    <col min="18" max="19" width="12.5546875" bestFit="1" customWidth="1"/>
    <col min="22" max="22" width="17.6640625" bestFit="1" customWidth="1"/>
    <col min="23" max="23" width="20.33203125" bestFit="1" customWidth="1"/>
  </cols>
  <sheetData>
    <row r="2" spans="1:16">
      <c r="B2" s="1" t="s">
        <v>71</v>
      </c>
      <c r="C2" t="s">
        <v>74</v>
      </c>
    </row>
    <row r="3" spans="1:16">
      <c r="B3" s="2" t="s">
        <v>15</v>
      </c>
      <c r="C3" s="14">
        <v>29000</v>
      </c>
      <c r="E3" s="1" t="s">
        <v>71</v>
      </c>
      <c r="F3" t="s">
        <v>74</v>
      </c>
      <c r="H3" s="1" t="s">
        <v>71</v>
      </c>
      <c r="I3" t="s">
        <v>74</v>
      </c>
      <c r="K3" s="1" t="s">
        <v>71</v>
      </c>
      <c r="L3" t="s">
        <v>73</v>
      </c>
      <c r="O3" s="12" t="s">
        <v>71</v>
      </c>
      <c r="P3" s="12" t="s">
        <v>74</v>
      </c>
    </row>
    <row r="4" spans="1:16">
      <c r="B4" s="2" t="s">
        <v>32</v>
      </c>
      <c r="C4" s="14">
        <v>28500</v>
      </c>
      <c r="E4" s="2" t="s">
        <v>19</v>
      </c>
      <c r="F4" s="14">
        <v>45800</v>
      </c>
      <c r="H4" s="2" t="s">
        <v>12</v>
      </c>
      <c r="I4" s="14">
        <v>54900</v>
      </c>
      <c r="K4" s="2" t="s">
        <v>19</v>
      </c>
      <c r="L4" s="14">
        <v>398</v>
      </c>
      <c r="M4">
        <v>398</v>
      </c>
      <c r="O4" s="2" t="s">
        <v>19</v>
      </c>
      <c r="P4">
        <f>GETPIVOTDATA("Units Sold",$K$3,"Region","East")</f>
        <v>398</v>
      </c>
    </row>
    <row r="5" spans="1:16">
      <c r="B5" s="2" t="s">
        <v>45</v>
      </c>
      <c r="C5" s="14">
        <v>24500</v>
      </c>
      <c r="E5" s="2" t="s">
        <v>13</v>
      </c>
      <c r="F5" s="14">
        <v>27400</v>
      </c>
      <c r="H5" s="2" t="s">
        <v>18</v>
      </c>
      <c r="I5" s="14">
        <v>88600</v>
      </c>
      <c r="K5" s="2" t="s">
        <v>13</v>
      </c>
      <c r="L5" s="14">
        <v>800</v>
      </c>
      <c r="M5">
        <v>800</v>
      </c>
      <c r="O5" s="2" t="s">
        <v>13</v>
      </c>
      <c r="P5">
        <f>GETPIVOTDATA("Units Sold",$K$3,"Region","North")</f>
        <v>800</v>
      </c>
    </row>
    <row r="6" spans="1:16">
      <c r="B6" s="2" t="s">
        <v>55</v>
      </c>
      <c r="C6" s="14">
        <v>33900</v>
      </c>
      <c r="E6" s="2" t="s">
        <v>23</v>
      </c>
      <c r="F6" s="14">
        <v>27500</v>
      </c>
      <c r="H6" s="2" t="s">
        <v>72</v>
      </c>
      <c r="I6" s="14">
        <v>143500</v>
      </c>
      <c r="K6" s="2" t="s">
        <v>23</v>
      </c>
      <c r="L6" s="14">
        <v>810</v>
      </c>
      <c r="M6">
        <v>810</v>
      </c>
      <c r="O6" s="2" t="s">
        <v>23</v>
      </c>
      <c r="P6">
        <f>GETPIVOTDATA("Units Sold",$K$3,"Region","South")</f>
        <v>810</v>
      </c>
    </row>
    <row r="7" spans="1:16">
      <c r="B7" s="2" t="s">
        <v>64</v>
      </c>
      <c r="C7" s="14">
        <v>27600</v>
      </c>
      <c r="E7" s="2" t="s">
        <v>27</v>
      </c>
      <c r="F7" s="14">
        <v>42800</v>
      </c>
      <c r="K7" s="2" t="s">
        <v>27</v>
      </c>
      <c r="L7" s="14">
        <v>388</v>
      </c>
      <c r="M7">
        <v>388</v>
      </c>
      <c r="O7" s="2" t="s">
        <v>27</v>
      </c>
      <c r="P7">
        <f>GETPIVOTDATA("Units Sold",$K$3,"Region","West")</f>
        <v>388</v>
      </c>
    </row>
    <row r="8" spans="1:16">
      <c r="B8" s="2" t="s">
        <v>72</v>
      </c>
      <c r="C8" s="14">
        <v>143500</v>
      </c>
      <c r="E8" s="2" t="s">
        <v>72</v>
      </c>
      <c r="F8" s="14">
        <v>143500</v>
      </c>
      <c r="K8" s="2" t="s">
        <v>72</v>
      </c>
      <c r="L8" s="14">
        <v>2396</v>
      </c>
      <c r="O8" s="13"/>
      <c r="P8">
        <f>GETPIVOTDATA("Profit ($)",$E$3)</f>
        <v>143500</v>
      </c>
    </row>
    <row r="11" spans="1:16">
      <c r="A11">
        <f>GETPIVOTDATA("Sum of Profit ($)",$B$2)</f>
        <v>143500</v>
      </c>
      <c r="C11" s="3">
        <f>GETPIVOTDATA("Profit ($)",$H$35,"Month",H36)</f>
        <v>29000</v>
      </c>
      <c r="L11">
        <f>GETPIVOTDATA("Units Sold",$K$3)</f>
        <v>2396</v>
      </c>
    </row>
    <row r="12" spans="1:16">
      <c r="C12" s="3">
        <f t="shared" ref="C12:C15" si="0">GETPIVOTDATA("Profit ($)",$H$35,"Month",H37)</f>
        <v>28500</v>
      </c>
    </row>
    <row r="13" spans="1:16">
      <c r="C13" s="3">
        <f t="shared" si="0"/>
        <v>24500</v>
      </c>
    </row>
    <row r="14" spans="1:16">
      <c r="C14" s="3">
        <f t="shared" si="0"/>
        <v>33900</v>
      </c>
    </row>
    <row r="15" spans="1:16">
      <c r="C15" s="3">
        <f t="shared" si="0"/>
        <v>27600</v>
      </c>
    </row>
    <row r="18" spans="22:23">
      <c r="V18" s="1" t="s">
        <v>71</v>
      </c>
      <c r="W18" t="s">
        <v>73</v>
      </c>
    </row>
    <row r="19" spans="22:23">
      <c r="V19" s="2" t="s">
        <v>17</v>
      </c>
      <c r="W19" s="14">
        <v>150</v>
      </c>
    </row>
    <row r="20" spans="22:23">
      <c r="V20" s="2" t="s">
        <v>37</v>
      </c>
      <c r="W20" s="14">
        <v>350</v>
      </c>
    </row>
    <row r="21" spans="22:23">
      <c r="V21" s="2" t="s">
        <v>47</v>
      </c>
      <c r="W21" s="14">
        <v>173</v>
      </c>
    </row>
    <row r="22" spans="22:23">
      <c r="V22" s="2" t="s">
        <v>34</v>
      </c>
      <c r="W22" s="14">
        <v>185</v>
      </c>
    </row>
    <row r="23" spans="22:23">
      <c r="V23" s="2" t="s">
        <v>22</v>
      </c>
      <c r="W23" s="14">
        <v>310</v>
      </c>
    </row>
    <row r="24" spans="22:23">
      <c r="V24" s="2" t="s">
        <v>26</v>
      </c>
      <c r="W24" s="14">
        <v>125</v>
      </c>
    </row>
    <row r="25" spans="22:23">
      <c r="V25" s="2" t="s">
        <v>40</v>
      </c>
      <c r="W25" s="14">
        <v>153</v>
      </c>
    </row>
    <row r="26" spans="22:23">
      <c r="V26" s="2" t="s">
        <v>11</v>
      </c>
      <c r="W26" s="14">
        <v>250</v>
      </c>
    </row>
    <row r="27" spans="22:23">
      <c r="V27" s="2" t="s">
        <v>30</v>
      </c>
      <c r="W27" s="14">
        <v>410</v>
      </c>
    </row>
    <row r="28" spans="22:23">
      <c r="V28" s="2" t="s">
        <v>43</v>
      </c>
      <c r="W28" s="14">
        <v>290</v>
      </c>
    </row>
    <row r="29" spans="22:23">
      <c r="V29" s="2" t="s">
        <v>72</v>
      </c>
      <c r="W29" s="14">
        <v>2396</v>
      </c>
    </row>
    <row r="35" spans="8:9">
      <c r="H35" s="1" t="s">
        <v>71</v>
      </c>
      <c r="I35" t="s">
        <v>74</v>
      </c>
    </row>
    <row r="36" spans="8:9">
      <c r="H36" s="2" t="s">
        <v>15</v>
      </c>
      <c r="I36" s="14">
        <v>29000</v>
      </c>
    </row>
    <row r="37" spans="8:9">
      <c r="H37" s="2" t="s">
        <v>32</v>
      </c>
      <c r="I37" s="14">
        <v>28500</v>
      </c>
    </row>
    <row r="38" spans="8:9">
      <c r="H38" s="2" t="s">
        <v>45</v>
      </c>
      <c r="I38" s="14">
        <v>24500</v>
      </c>
    </row>
    <row r="39" spans="8:9">
      <c r="H39" s="2" t="s">
        <v>55</v>
      </c>
      <c r="I39" s="14">
        <v>33900</v>
      </c>
    </row>
    <row r="40" spans="8:9">
      <c r="H40" s="2" t="s">
        <v>64</v>
      </c>
      <c r="I40" s="14">
        <v>27600</v>
      </c>
    </row>
    <row r="41" spans="8:9">
      <c r="H41" s="2" t="s">
        <v>72</v>
      </c>
      <c r="I41" s="14">
        <v>143500</v>
      </c>
    </row>
    <row r="57" spans="11:14">
      <c r="K57" s="1" t="s">
        <v>71</v>
      </c>
      <c r="L57" t="s">
        <v>75</v>
      </c>
    </row>
    <row r="58" spans="11:14">
      <c r="K58" s="2" t="s">
        <v>12</v>
      </c>
      <c r="L58" s="14">
        <v>10</v>
      </c>
    </row>
    <row r="59" spans="11:14">
      <c r="K59" s="2" t="s">
        <v>18</v>
      </c>
      <c r="L59" s="14">
        <v>10</v>
      </c>
    </row>
    <row r="60" spans="11:14">
      <c r="K60" s="2" t="s">
        <v>72</v>
      </c>
      <c r="L60" s="14">
        <v>20</v>
      </c>
    </row>
    <row r="64" spans="11:14">
      <c r="M64" s="1" t="s">
        <v>71</v>
      </c>
      <c r="N64" t="s">
        <v>74</v>
      </c>
    </row>
    <row r="65" spans="13:19">
      <c r="M65" s="2" t="s">
        <v>12</v>
      </c>
      <c r="N65" s="14">
        <v>54900</v>
      </c>
    </row>
    <row r="66" spans="13:19">
      <c r="M66" s="2" t="s">
        <v>18</v>
      </c>
      <c r="N66" s="14">
        <v>88600</v>
      </c>
    </row>
    <row r="67" spans="13:19">
      <c r="M67" s="2" t="s">
        <v>72</v>
      </c>
      <c r="N67" s="14">
        <v>143500</v>
      </c>
    </row>
    <row r="69" spans="13:19">
      <c r="M69" s="12" t="s">
        <v>71</v>
      </c>
      <c r="N69" s="12" t="s">
        <v>74</v>
      </c>
      <c r="Q69" s="18" t="s">
        <v>71</v>
      </c>
      <c r="R69" s="18" t="s">
        <v>76</v>
      </c>
      <c r="S69" s="18" t="s">
        <v>77</v>
      </c>
    </row>
    <row r="70" spans="13:19">
      <c r="M70" s="2" t="s">
        <v>12</v>
      </c>
      <c r="N70">
        <f>GETPIVOTDATA("Profit ($)",$M$64,"Category","OTC")</f>
        <v>54900</v>
      </c>
      <c r="Q70" s="15" t="s">
        <v>17</v>
      </c>
      <c r="R70" s="16">
        <v>16000</v>
      </c>
      <c r="S70" s="17">
        <v>0.11149825783972125</v>
      </c>
    </row>
    <row r="71" spans="13:19">
      <c r="M71" s="2" t="s">
        <v>18</v>
      </c>
      <c r="N71">
        <f>GETPIVOTDATA("Profit ($)",$M$64,"Category","Prescription")</f>
        <v>88600</v>
      </c>
      <c r="Q71" s="15" t="s">
        <v>37</v>
      </c>
      <c r="R71" s="16">
        <v>12000</v>
      </c>
      <c r="S71" s="17">
        <v>8.3623693379790948E-2</v>
      </c>
    </row>
    <row r="72" spans="13:19">
      <c r="M72" s="13" t="s">
        <v>72</v>
      </c>
      <c r="N72">
        <f>GETPIVOTDATA("Profit ($)",$M$64)</f>
        <v>143500</v>
      </c>
      <c r="Q72" s="15" t="s">
        <v>47</v>
      </c>
      <c r="R72" s="16">
        <v>17300</v>
      </c>
      <c r="S72" s="17">
        <v>0.12055749128919861</v>
      </c>
    </row>
    <row r="73" spans="13:19">
      <c r="Q73" s="15" t="s">
        <v>34</v>
      </c>
      <c r="R73" s="16">
        <v>18500</v>
      </c>
      <c r="S73" s="17">
        <v>0.1289198606271777</v>
      </c>
    </row>
    <row r="74" spans="13:19">
      <c r="Q74" s="15" t="s">
        <v>22</v>
      </c>
      <c r="R74" s="16">
        <v>12400</v>
      </c>
      <c r="S74" s="17">
        <v>8.6411149825783976E-2</v>
      </c>
    </row>
    <row r="75" spans="13:19">
      <c r="Q75" s="15" t="s">
        <v>26</v>
      </c>
      <c r="R75" s="16">
        <v>21500</v>
      </c>
      <c r="S75" s="17">
        <v>0.14982578397212543</v>
      </c>
    </row>
    <row r="76" spans="13:19">
      <c r="Q76" s="15" t="s">
        <v>40</v>
      </c>
      <c r="R76" s="16">
        <v>15300</v>
      </c>
      <c r="S76" s="17">
        <v>0.10662020905923345</v>
      </c>
    </row>
    <row r="77" spans="13:19">
      <c r="Q77" s="15" t="s">
        <v>11</v>
      </c>
      <c r="R77" s="16">
        <v>8000</v>
      </c>
      <c r="S77" s="17">
        <v>5.5749128919860627E-2</v>
      </c>
    </row>
    <row r="78" spans="13:19">
      <c r="Q78" s="15" t="s">
        <v>30</v>
      </c>
      <c r="R78" s="16">
        <v>12500</v>
      </c>
      <c r="S78" s="17">
        <v>8.7108013937282236E-2</v>
      </c>
    </row>
    <row r="79" spans="13:19">
      <c r="Q79" s="15" t="s">
        <v>43</v>
      </c>
      <c r="R79" s="16">
        <v>10000</v>
      </c>
      <c r="S79" s="17">
        <v>6.968641114982578E-2</v>
      </c>
    </row>
    <row r="80" spans="13:19">
      <c r="Q80" s="15" t="s">
        <v>72</v>
      </c>
      <c r="R80" s="16">
        <v>143500</v>
      </c>
      <c r="S80" s="17">
        <v>1</v>
      </c>
    </row>
  </sheetData>
  <conditionalFormatting pivot="1" sqref="S70:S79">
    <cfRule type="cellIs" dxfId="80" priority="1" operator="greaterThan">
      <formula>0.1028</formula>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1EBD-86F8-498C-9296-DA95E402836A}">
  <sheetPr>
    <tabColor rgb="FFFFFF00"/>
  </sheetPr>
  <dimension ref="A1"/>
  <sheetViews>
    <sheetView showGridLines="0" tabSelected="1" zoomScaleNormal="100"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8322-0290-45C4-A1BB-189E52FD2CCA}">
  <sheetPr>
    <tabColor rgb="FFFFFF00"/>
  </sheetPr>
  <dimension ref="A1"/>
  <sheetViews>
    <sheetView showGridLines="0" zoomScaleNormal="100"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KPi</vt:lpstr>
      <vt:lpstr>Region</vt:lpstr>
      <vt:lpstr>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Akash Sheet</cp:lastModifiedBy>
  <dcterms:created xsi:type="dcterms:W3CDTF">2026-03-20T08:00:55Z</dcterms:created>
  <dcterms:modified xsi:type="dcterms:W3CDTF">2026-04-21T15:53:17Z</dcterms:modified>
</cp:coreProperties>
</file>